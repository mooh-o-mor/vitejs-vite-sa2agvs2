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W.08.ТЭФ\14_СОСТАВ ФЛОТА\"/>
    </mc:Choice>
  </mc:AlternateContent>
  <bookViews>
    <workbookView xWindow="0" yWindow="0" windowWidth="28800" windowHeight="12300"/>
  </bookViews>
  <sheets>
    <sheet name="Судовой состав МСС" sheetId="1" r:id="rId1"/>
    <sheet name="Лист1" sheetId="2" r:id="rId2"/>
  </sheets>
  <definedNames>
    <definedName name="_xlnm._FilterDatabase" localSheetId="0" hidden="1">'Судовой состав МСС'!$A$1:$S$275</definedName>
  </definedNames>
  <calcPr calcId="162913"/>
</workbook>
</file>

<file path=xl/calcChain.xml><?xml version="1.0" encoding="utf-8"?>
<calcChain xmlns="http://schemas.openxmlformats.org/spreadsheetml/2006/main">
  <c r="M10" i="2" l="1"/>
  <c r="N10" i="2" s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I10" i="2"/>
  <c r="I9" i="2"/>
  <c r="I8" i="2"/>
  <c r="I7" i="2"/>
  <c r="I6" i="2"/>
  <c r="I5" i="2"/>
  <c r="I4" i="2"/>
  <c r="I3" i="2"/>
  <c r="E10" i="2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H3" i="2"/>
  <c r="H10" i="2"/>
  <c r="H9" i="2"/>
  <c r="H8" i="2"/>
  <c r="H7" i="2"/>
  <c r="H6" i="2"/>
  <c r="H5" i="2"/>
  <c r="H4" i="2"/>
  <c r="L11" i="2"/>
  <c r="G11" i="2"/>
  <c r="D11" i="2"/>
  <c r="M11" i="2" l="1"/>
  <c r="I11" i="2"/>
  <c r="N3" i="2"/>
  <c r="N11" i="2" s="1"/>
  <c r="J10" i="2"/>
  <c r="K10" i="2" s="1"/>
  <c r="J9" i="2"/>
  <c r="K9" i="2" s="1"/>
  <c r="J8" i="2"/>
  <c r="K8" i="2" s="1"/>
  <c r="J7" i="2"/>
  <c r="K7" i="2" s="1"/>
  <c r="J6" i="2"/>
  <c r="B6" i="2" s="1"/>
  <c r="J5" i="2"/>
  <c r="K5" i="2" s="1"/>
  <c r="J4" i="2"/>
  <c r="K4" i="2" s="1"/>
  <c r="H11" i="2"/>
  <c r="B10" i="2"/>
  <c r="J3" i="2"/>
  <c r="K3" i="2" s="1"/>
  <c r="F10" i="2"/>
  <c r="E11" i="2"/>
  <c r="F3" i="2"/>
  <c r="B9" i="2" l="1"/>
  <c r="B8" i="2"/>
  <c r="B4" i="2"/>
  <c r="B5" i="2"/>
  <c r="K6" i="2"/>
  <c r="K11" i="2" s="1"/>
  <c r="B7" i="2"/>
  <c r="B3" i="2"/>
  <c r="J11" i="2"/>
  <c r="F11" i="2"/>
  <c r="B11" i="2" l="1"/>
</calcChain>
</file>

<file path=xl/sharedStrings.xml><?xml version="1.0" encoding="utf-8"?>
<sst xmlns="http://schemas.openxmlformats.org/spreadsheetml/2006/main" count="2601" uniqueCount="647">
  <si>
    <t>№ п/п</t>
  </si>
  <si>
    <t>Наименование судна</t>
  </si>
  <si>
    <t>Проект</t>
  </si>
  <si>
    <t>Год постройки</t>
  </si>
  <si>
    <t>Тип судна</t>
  </si>
  <si>
    <t>Класс</t>
  </si>
  <si>
    <t>ИМО</t>
  </si>
  <si>
    <t>Порт регистрации</t>
  </si>
  <si>
    <t>Нотация</t>
  </si>
  <si>
    <t>GRT</t>
  </si>
  <si>
    <t>кВт</t>
  </si>
  <si>
    <t>BP</t>
  </si>
  <si>
    <t>Район плавания</t>
  </si>
  <si>
    <t>Возраст судна</t>
  </si>
  <si>
    <t>Длина</t>
  </si>
  <si>
    <t>Ширина</t>
  </si>
  <si>
    <t>Филиал</t>
  </si>
  <si>
    <t>Артемис Оффшор</t>
  </si>
  <si>
    <t>YX3205</t>
  </si>
  <si>
    <t>Судно специального назначения</t>
  </si>
  <si>
    <t>РКО (Конв)</t>
  </si>
  <si>
    <t>Владивосток</t>
  </si>
  <si>
    <t>IСЕ1 (НULL;МАСНINЕRY) АUТ1 FF1WS DYNРОS-2 ВWМ (Е-S) НЕLIDЕСК RР-2 DG IWS SРЕСIАL РURРОSЕ SНIР/SUРРLY VЕSSЕL(ОS)</t>
  </si>
  <si>
    <t>Неограниченный</t>
  </si>
  <si>
    <t>Приморский</t>
  </si>
  <si>
    <t>Воевода</t>
  </si>
  <si>
    <t>РМРС (Конв)</t>
  </si>
  <si>
    <t>Санкт-Петербург</t>
  </si>
  <si>
    <t>Балтийский</t>
  </si>
  <si>
    <t>Берингов пролив</t>
  </si>
  <si>
    <t>MPSV06M</t>
  </si>
  <si>
    <t>Спасательное</t>
  </si>
  <si>
    <t>Корсаков</t>
  </si>
  <si>
    <t>KM* Icebreaker6 [2] AUT1-ICS OMBO FF2WS DYNPOS-2 EPP SDS&lt;60 HELIDECK salvage ship/tug/oil recovery ship(&gt;60°C)</t>
  </si>
  <si>
    <t>Сахалинский</t>
  </si>
  <si>
    <t>Буксир</t>
  </si>
  <si>
    <t>Мурман</t>
  </si>
  <si>
    <t>Мурманск</t>
  </si>
  <si>
    <t>Северный</t>
  </si>
  <si>
    <t>Керченский пролив</t>
  </si>
  <si>
    <t>MPSV06</t>
  </si>
  <si>
    <t>Финвал</t>
  </si>
  <si>
    <t>UT-722LX</t>
  </si>
  <si>
    <t xml:space="preserve">Буксир/Судно снабжения (ПБУ) </t>
  </si>
  <si>
    <t>Архангельск</t>
  </si>
  <si>
    <t>KM*Ice1 AUT1 FF3WS DYNPOS-2 COMF(N-3) COMF(V-3) Oil recovery ship Supply vessel (OS) Tug, Anchor handling vessel</t>
  </si>
  <si>
    <t>Балтика</t>
  </si>
  <si>
    <t>Р-70202</t>
  </si>
  <si>
    <t>Сейвал</t>
  </si>
  <si>
    <t>UT-722</t>
  </si>
  <si>
    <t>KM* IC AUT1 FF2 DYNPOS-2 Anchor handling vessel, Tug, Supply vessel (OS)</t>
  </si>
  <si>
    <t>Умка</t>
  </si>
  <si>
    <t>UT-722A</t>
  </si>
  <si>
    <t xml:space="preserve"> Буксир/Судно снабжения (ПБУ) </t>
  </si>
  <si>
    <t xml:space="preserve"> KM* Ice1 AUT1 DYNPOS-2 ANTI-ICE tug/supply vessel/oil recovery ship</t>
  </si>
  <si>
    <t>Нарвал</t>
  </si>
  <si>
    <t>UT-722L</t>
  </si>
  <si>
    <t>KM* Ice1 AUT1 DYNPOS-2  Anchor handling vessel, Tug, Supply vessel (OS)</t>
  </si>
  <si>
    <t>Сивуч</t>
  </si>
  <si>
    <t>KM* Ice1 AUT2 DYNPOS-2 Oil recovery ship, Anchor handling vessel, Tug, Supply vessel (OS)</t>
  </si>
  <si>
    <t>Бахтемир</t>
  </si>
  <si>
    <t>MPSV12</t>
  </si>
  <si>
    <t>KM* Arc5 [1] AUT1 FF2WS DYNPOS-2 salvage ship</t>
  </si>
  <si>
    <t>Бейсуг</t>
  </si>
  <si>
    <t>Новороссийск</t>
  </si>
  <si>
    <t>Азово-Черноморский</t>
  </si>
  <si>
    <t>Калас</t>
  </si>
  <si>
    <t>KM* Arc5 [1] AUT1 FF2WS DYNPOS-2 salvage ship / oil recovery ship(&gt;60°C)</t>
  </si>
  <si>
    <t>Пильтун</t>
  </si>
  <si>
    <t>Могучий</t>
  </si>
  <si>
    <t>J042А</t>
  </si>
  <si>
    <t>Самоходный плавкран</t>
  </si>
  <si>
    <t>РКО</t>
  </si>
  <si>
    <t>Астрахань</t>
  </si>
  <si>
    <t>О-ПР2,0(лед20)А</t>
  </si>
  <si>
    <t>О</t>
  </si>
  <si>
    <t>Каспийский</t>
  </si>
  <si>
    <t>Ясный</t>
  </si>
  <si>
    <t>В-92</t>
  </si>
  <si>
    <t>Судно обеспечения (ПБУ)</t>
  </si>
  <si>
    <t>KM* UL [1] AUT2 supply vessel</t>
  </si>
  <si>
    <t>Капитан Мартышкин</t>
  </si>
  <si>
    <t xml:space="preserve">Судно обеспечения (ПБУ) </t>
  </si>
  <si>
    <t>KM* L1 [1] AUT2 supply vessel</t>
  </si>
  <si>
    <t>Нефтегаз-55</t>
  </si>
  <si>
    <t>Отто Шмидт</t>
  </si>
  <si>
    <t>KM* L1 [1] AUT2 Supply ship</t>
  </si>
  <si>
    <t>Спасатель Демидов</t>
  </si>
  <si>
    <t>MPSV07</t>
  </si>
  <si>
    <t>KM* Arc5 [1] AUT1-ICS OMBO FF3WS DYNPOS-2 EPP salvage ship</t>
  </si>
  <si>
    <t>Спасатель Заборщиков</t>
  </si>
  <si>
    <t>Спасатель Ильин</t>
  </si>
  <si>
    <t>Спасатель Кавдейкин</t>
  </si>
  <si>
    <t>KM* Arc5 [1] AUT1-ICS OMBO FF3WS DYNPOS-2 EPP salvage ship/oil recovery ship(&gt;60°C)</t>
  </si>
  <si>
    <t>Спасатель Карев</t>
  </si>
  <si>
    <t>KM* Arc5 [1] AUT1-ICS OMBO FF3WS DYNPOS-2 EPP Salvage ship</t>
  </si>
  <si>
    <t>МГ-101</t>
  </si>
  <si>
    <t>Баржа</t>
  </si>
  <si>
    <t>РМРС</t>
  </si>
  <si>
    <t>KE* pontoon for transportation services</t>
  </si>
  <si>
    <t>Балтийский Исследователь</t>
  </si>
  <si>
    <t>ASL-H924</t>
  </si>
  <si>
    <t>KM* DYNPOS-2 supply vessel (OS)</t>
  </si>
  <si>
    <t>н/п</t>
  </si>
  <si>
    <t>БПБ-001</t>
  </si>
  <si>
    <t>81ПК</t>
  </si>
  <si>
    <t>Баржа-площадка</t>
  </si>
  <si>
    <t>Москва</t>
  </si>
  <si>
    <t>М3,0(лед20)</t>
  </si>
  <si>
    <t>R2</t>
  </si>
  <si>
    <t>Тверской</t>
  </si>
  <si>
    <t>Светломор-3</t>
  </si>
  <si>
    <t>Лазурит</t>
  </si>
  <si>
    <t>Буксир/Спасательное</t>
  </si>
  <si>
    <t>KM* UL [1] AUT2 Tug</t>
  </si>
  <si>
    <t>Рубин</t>
  </si>
  <si>
    <t xml:space="preserve"> KM* Arc4 [1] AUT2 tug</t>
  </si>
  <si>
    <t>Капитан Беклемишев</t>
  </si>
  <si>
    <t>KM* Arc5 [1] AUT2 EPP tug</t>
  </si>
  <si>
    <t>Эпрон</t>
  </si>
  <si>
    <t xml:space="preserve">Буксир/Спасательное </t>
  </si>
  <si>
    <t>KM* UL [1] AUT2 tug</t>
  </si>
  <si>
    <t>ПК-714</t>
  </si>
  <si>
    <t>302А</t>
  </si>
  <si>
    <t>Несамоходный плавкран</t>
  </si>
  <si>
    <t>Волгоград</t>
  </si>
  <si>
    <t>М3,0</t>
  </si>
  <si>
    <t>R3</t>
  </si>
  <si>
    <t>ПК-1202</t>
  </si>
  <si>
    <t>Несамоходный плавкран для судоподъёмных работ</t>
  </si>
  <si>
    <t>БМС-001</t>
  </si>
  <si>
    <t xml:space="preserve"> K* R2-RSN pontoon</t>
  </si>
  <si>
    <t>R2-RSN</t>
  </si>
  <si>
    <t>БМС-002</t>
  </si>
  <si>
    <t>Черноморец-18</t>
  </si>
  <si>
    <t>Крановое</t>
  </si>
  <si>
    <t>Калининград</t>
  </si>
  <si>
    <t>KM* L3 [1] R3 floating crane</t>
  </si>
  <si>
    <t>Игорь Ильин</t>
  </si>
  <si>
    <t>SDS18</t>
  </si>
  <si>
    <t>KM* Ice1 R1 AUT3-ICS OMBO DYNPOS-1 Catamaran Special purpose ship</t>
  </si>
  <si>
    <t>R1</t>
  </si>
  <si>
    <t>Виктор Буйницкий</t>
  </si>
  <si>
    <t>Исследовательское</t>
  </si>
  <si>
    <t>KM* L1 [1] AUT2 special purpose ship</t>
  </si>
  <si>
    <t>БП-2</t>
  </si>
  <si>
    <t>О2,0 (лед20)</t>
  </si>
  <si>
    <t>СПК-19-35</t>
  </si>
  <si>
    <t>D-9040</t>
  </si>
  <si>
    <t>Крановое несамоходное</t>
  </si>
  <si>
    <t>KE* R3 Floating crane</t>
  </si>
  <si>
    <t>ПК-716</t>
  </si>
  <si>
    <t>ПК-205</t>
  </si>
  <si>
    <t>Несамоходный плакран</t>
  </si>
  <si>
    <t>Ростов-на-Дону</t>
  </si>
  <si>
    <t>О2,0</t>
  </si>
  <si>
    <t>ПК-307</t>
  </si>
  <si>
    <t>БС-512</t>
  </si>
  <si>
    <t>Р1,2</t>
  </si>
  <si>
    <t>Р</t>
  </si>
  <si>
    <t>Сергей Кладько</t>
  </si>
  <si>
    <t>75ПК</t>
  </si>
  <si>
    <t>Буксир-толкач</t>
  </si>
  <si>
    <t>М3,0(лед20)А</t>
  </si>
  <si>
    <t>БС-220</t>
  </si>
  <si>
    <t>БС-513</t>
  </si>
  <si>
    <t>Меркурий</t>
  </si>
  <si>
    <t>Туапсе</t>
  </si>
  <si>
    <t>KM* R1 FF3WS tug</t>
  </si>
  <si>
    <t>КПЛ-16-10</t>
  </si>
  <si>
    <t>Хабаровск</t>
  </si>
  <si>
    <t>ПК-712</t>
  </si>
  <si>
    <t>Р-108</t>
  </si>
  <si>
    <t>ПК-506</t>
  </si>
  <si>
    <t>ПК-1204</t>
  </si>
  <si>
    <t>ПК-407</t>
  </si>
  <si>
    <t>ПК-508</t>
  </si>
  <si>
    <t>ПК-109</t>
  </si>
  <si>
    <t>Волго-Балт</t>
  </si>
  <si>
    <t>Бэй</t>
  </si>
  <si>
    <t>34m T.S. TUG</t>
  </si>
  <si>
    <t>РМРС (сейчас RINA)</t>
  </si>
  <si>
    <t>C*</t>
  </si>
  <si>
    <t>БС-717</t>
  </si>
  <si>
    <t>Пенай</t>
  </si>
  <si>
    <t>TG-17</t>
  </si>
  <si>
    <t>KM* Arc4 R1 AUT3-C FF3WS Tug</t>
  </si>
  <si>
    <t>Подводник</t>
  </si>
  <si>
    <t>О2,0 (лед20)А</t>
  </si>
  <si>
    <t>Ростов Великий</t>
  </si>
  <si>
    <t>SDS08</t>
  </si>
  <si>
    <t>Водолазное</t>
  </si>
  <si>
    <t>KM* Ice2 R2 AUT3 OMBO</t>
  </si>
  <si>
    <t>Рыбинск</t>
  </si>
  <si>
    <t>KM* Ice2 [1] R2 AUT3-C OMBO</t>
  </si>
  <si>
    <t>Стольный Град Ярославль</t>
  </si>
  <si>
    <t>KM* Ice2 R2 AUT3 OMBO SDS&gt;=60</t>
  </si>
  <si>
    <t>Углич</t>
  </si>
  <si>
    <t>ПРП-4</t>
  </si>
  <si>
    <t>SB02</t>
  </si>
  <si>
    <t>Плавпричал</t>
  </si>
  <si>
    <t>Нет</t>
  </si>
  <si>
    <t>БС-510</t>
  </si>
  <si>
    <t>Р-92</t>
  </si>
  <si>
    <t>БС-718</t>
  </si>
  <si>
    <t>Часовой</t>
  </si>
  <si>
    <t>Противопожарное</t>
  </si>
  <si>
    <t>KM* L4 [1] R1 AUT3</t>
  </si>
  <si>
    <t>Печак</t>
  </si>
  <si>
    <t>NE025</t>
  </si>
  <si>
    <t>Петропавловск-Камчатский</t>
  </si>
  <si>
    <t>KM* Arc4 (hull, machinery) R1 AUT3 FF3WS Tug</t>
  </si>
  <si>
    <t>Камчатский</t>
  </si>
  <si>
    <t>Тепсей</t>
  </si>
  <si>
    <t>Тиман</t>
  </si>
  <si>
    <t>Узон</t>
  </si>
  <si>
    <t>Фавор</t>
  </si>
  <si>
    <t>ПК-108</t>
  </si>
  <si>
    <t>Р-99</t>
  </si>
  <si>
    <t>ПК-312</t>
  </si>
  <si>
    <t>ПК-717</t>
  </si>
  <si>
    <t>Амбер</t>
  </si>
  <si>
    <t>31M T.S. TUG</t>
  </si>
  <si>
    <t>KM*Tug</t>
  </si>
  <si>
    <t>Руби</t>
  </si>
  <si>
    <t>Урал-33</t>
  </si>
  <si>
    <t>Р-45Б</t>
  </si>
  <si>
    <t>О2,0(лед10)А</t>
  </si>
  <si>
    <t>Импульс</t>
  </si>
  <si>
    <t>535М</t>
  </si>
  <si>
    <t>KM* [1] R1</t>
  </si>
  <si>
    <t>Григорий Каштаков</t>
  </si>
  <si>
    <t>НМС</t>
  </si>
  <si>
    <t>Самоходное нефтесборное судно</t>
  </si>
  <si>
    <t>KM* R3 Oil recovery ship(&gt;60°C)</t>
  </si>
  <si>
    <t>Союз</t>
  </si>
  <si>
    <t>134Е</t>
  </si>
  <si>
    <t>KM* UL R3 AUT2 tug</t>
  </si>
  <si>
    <t>Сборщик-348</t>
  </si>
  <si>
    <t>1582УД</t>
  </si>
  <si>
    <t>Нефтемусоросборщик</t>
  </si>
  <si>
    <t>М-СП3,5(лед20)</t>
  </si>
  <si>
    <t>Николай Семенченко</t>
  </si>
  <si>
    <t>NE011</t>
  </si>
  <si>
    <t>KM* Ice3 (hull; machinery) R2 AUT3 FF3WS tug</t>
  </si>
  <si>
    <t>Буран</t>
  </si>
  <si>
    <t>134Д</t>
  </si>
  <si>
    <t>KM* UL R2 AUT2 tug</t>
  </si>
  <si>
    <t>Выборг</t>
  </si>
  <si>
    <t>8059.1</t>
  </si>
  <si>
    <t>KM* Ice2 R2 Tug</t>
  </si>
  <si>
    <t>Б-1214</t>
  </si>
  <si>
    <t>Р33Б</t>
  </si>
  <si>
    <t>Буксирный теплоход</t>
  </si>
  <si>
    <t>О2,0 (лед10)</t>
  </si>
  <si>
    <t>Плотовод-685</t>
  </si>
  <si>
    <t>Р 33Б</t>
  </si>
  <si>
    <t>О2,0(ЛЕД10)</t>
  </si>
  <si>
    <t>БР-203</t>
  </si>
  <si>
    <t>Брандвахта</t>
  </si>
  <si>
    <t>Азов</t>
  </si>
  <si>
    <t>О2,0 I</t>
  </si>
  <si>
    <t>Б-508</t>
  </si>
  <si>
    <t>Р 14</t>
  </si>
  <si>
    <t>Р1,2 (лед20)</t>
  </si>
  <si>
    <t>Водолаз Грицай</t>
  </si>
  <si>
    <t>А160</t>
  </si>
  <si>
    <t>KM* Ice2 R3-RSN AUT3 SDS&lt;60</t>
  </si>
  <si>
    <t>Калининградский</t>
  </si>
  <si>
    <t>Прибрежный</t>
  </si>
  <si>
    <t>698П</t>
  </si>
  <si>
    <t>Природоохранное судно</t>
  </si>
  <si>
    <t>М-СП3,5 (лед10)</t>
  </si>
  <si>
    <t>ППС-101</t>
  </si>
  <si>
    <t>Несамоходная баржа- площадка для ПТР</t>
  </si>
  <si>
    <t>Б-505</t>
  </si>
  <si>
    <t>911В</t>
  </si>
  <si>
    <t>Р1,2А</t>
  </si>
  <si>
    <t>Б-507</t>
  </si>
  <si>
    <t>Р-103А</t>
  </si>
  <si>
    <t>О2,0(ЛЕД20)</t>
  </si>
  <si>
    <t>Водолаз Кузьминых</t>
  </si>
  <si>
    <t>А160-ЯР</t>
  </si>
  <si>
    <t>KM* Ice2 R3-RSN AUT3 SDS&lt;60 Diving dhip</t>
  </si>
  <si>
    <t>Водолаз Денисов</t>
  </si>
  <si>
    <t>Водолаз Зубченко</t>
  </si>
  <si>
    <t>Водолаз Зюляев</t>
  </si>
  <si>
    <t>Водолаз Литвин</t>
  </si>
  <si>
    <t>Водолаз Малеев</t>
  </si>
  <si>
    <t>KM* Ice2 R3-RSN AUT3</t>
  </si>
  <si>
    <t>Водолаз Печкуров</t>
  </si>
  <si>
    <t>KM* Ice2 R3 AUT3 SDS&lt;60</t>
  </si>
  <si>
    <t>Водолаз Сазонов</t>
  </si>
  <si>
    <t>Водолаз Сташков</t>
  </si>
  <si>
    <t>Водолаз Чебаненко</t>
  </si>
  <si>
    <t>БС-928</t>
  </si>
  <si>
    <t>БС-320</t>
  </si>
  <si>
    <t>Метель</t>
  </si>
  <si>
    <t>Колонок-57</t>
  </si>
  <si>
    <t>1344/О-ПР</t>
  </si>
  <si>
    <t>Бонопостановщик (Сухогрузный теплоход)</t>
  </si>
  <si>
    <t>О-ПР2,0</t>
  </si>
  <si>
    <t>Колонок-99</t>
  </si>
  <si>
    <t>1344-99/О-ПР</t>
  </si>
  <si>
    <t>Дерзкий</t>
  </si>
  <si>
    <t>В820-DZ</t>
  </si>
  <si>
    <t>KM* L3 R3 tug</t>
  </si>
  <si>
    <t>Водолаз-14</t>
  </si>
  <si>
    <t>KM* R3</t>
  </si>
  <si>
    <t>Лоцман Гаркуша</t>
  </si>
  <si>
    <t>Лоцманское</t>
  </si>
  <si>
    <t>KM* L3[1] R3</t>
  </si>
  <si>
    <t>Залив</t>
  </si>
  <si>
    <t>KM* Ice2 R2 tug</t>
  </si>
  <si>
    <t>Зенит</t>
  </si>
  <si>
    <t>Портовый-1</t>
  </si>
  <si>
    <t>KM* L3 R2 tug</t>
  </si>
  <si>
    <t>Гроза</t>
  </si>
  <si>
    <t>KM* L3 R1 Tug</t>
  </si>
  <si>
    <t>Кайман-1</t>
  </si>
  <si>
    <t>Кайман N450A</t>
  </si>
  <si>
    <t>Моторное судно</t>
  </si>
  <si>
    <t>ГИМС</t>
  </si>
  <si>
    <t>Маломерное</t>
  </si>
  <si>
    <t>Прибрежное</t>
  </si>
  <si>
    <t>НМС-26</t>
  </si>
  <si>
    <t>Р мс 1,2</t>
  </si>
  <si>
    <t>Александр Сизонцев</t>
  </si>
  <si>
    <t>А40-2Б-ЯР</t>
  </si>
  <si>
    <t>Бонопостановщик</t>
  </si>
  <si>
    <t>KM* Ice2 R3-RSN AUT3 oil recovery ship(&gt;60°C)</t>
  </si>
  <si>
    <t>Капитан Балашов</t>
  </si>
  <si>
    <t>Капитан Барабаш</t>
  </si>
  <si>
    <t>Капитан Мишин</t>
  </si>
  <si>
    <t>Капитан Оходов</t>
  </si>
  <si>
    <t>Максим Колосов</t>
  </si>
  <si>
    <t>А40-2Б-Ф</t>
  </si>
  <si>
    <t>KM* Ice2 R3 -RSN AUT3 oil recovery ship(&gt;60°C)</t>
  </si>
  <si>
    <t>Николай Бурков</t>
  </si>
  <si>
    <t>Спасатель Алексюк</t>
  </si>
  <si>
    <t>Ш-706</t>
  </si>
  <si>
    <t>Р-152</t>
  </si>
  <si>
    <t>Несамоходная шаланда</t>
  </si>
  <si>
    <t>Оберон</t>
  </si>
  <si>
    <t>KM*R3 Tug</t>
  </si>
  <si>
    <t>Анатолий Веретехин</t>
  </si>
  <si>
    <t>А40-2Б</t>
  </si>
  <si>
    <t>KM* Ice2 R3 AUT3 oil recovery ship(&gt;60°C)</t>
  </si>
  <si>
    <t>Анатолий Ткачев</t>
  </si>
  <si>
    <t>Валерий Барский</t>
  </si>
  <si>
    <t>Виктор Петров</t>
  </si>
  <si>
    <t>Геннадий Кожухов</t>
  </si>
  <si>
    <t>Евгений Морозов</t>
  </si>
  <si>
    <t>Кайман-2</t>
  </si>
  <si>
    <t>АСПТР-5</t>
  </si>
  <si>
    <t>Р-100</t>
  </si>
  <si>
    <t>морской буксир прибрежного плавания</t>
  </si>
  <si>
    <t>Валентин Подгорный</t>
  </si>
  <si>
    <t>Теплоход для водолазных работ</t>
  </si>
  <si>
    <t>М-СП3,5</t>
  </si>
  <si>
    <t>ВРД-1170</t>
  </si>
  <si>
    <t>РВМ-376</t>
  </si>
  <si>
    <t>Водолазный теплоход</t>
  </si>
  <si>
    <t>ВРД-1505</t>
  </si>
  <si>
    <t>Самоходное, водолазный теплоход</t>
  </si>
  <si>
    <t>Мастер</t>
  </si>
  <si>
    <t>Мастер 500</t>
  </si>
  <si>
    <t>Маркаб</t>
  </si>
  <si>
    <t>HS-2000RS</t>
  </si>
  <si>
    <t>Противозагрязнения</t>
  </si>
  <si>
    <t>KM* L2 R2-RSN</t>
  </si>
  <si>
    <t>Мизар</t>
  </si>
  <si>
    <t>НМС-17</t>
  </si>
  <si>
    <t>Нефтеналивное</t>
  </si>
  <si>
    <t>KM* R3 oil tanker(&gt;60°С)</t>
  </si>
  <si>
    <t>Б-104</t>
  </si>
  <si>
    <t>О мс2,0</t>
  </si>
  <si>
    <t>Б-245</t>
  </si>
  <si>
    <t>Волна</t>
  </si>
  <si>
    <t>РБ1415</t>
  </si>
  <si>
    <t>KM* [1] R3</t>
  </si>
  <si>
    <t>В-221</t>
  </si>
  <si>
    <t>Водолазный бот</t>
  </si>
  <si>
    <t>В-710</t>
  </si>
  <si>
    <t>РВН-376У</t>
  </si>
  <si>
    <t>В-719</t>
  </si>
  <si>
    <t>ВРД-1025</t>
  </si>
  <si>
    <t>РВН-376ГБ</t>
  </si>
  <si>
    <t>Разъездной теплоход</t>
  </si>
  <si>
    <t>Б-123</t>
  </si>
  <si>
    <t>О мс2,0 (лед15)</t>
  </si>
  <si>
    <t>Б-706</t>
  </si>
  <si>
    <t>Айруп</t>
  </si>
  <si>
    <t>17MJ</t>
  </si>
  <si>
    <t>Патрульное</t>
  </si>
  <si>
    <t>KM* [1] HSC</t>
  </si>
  <si>
    <t>R3-RSN</t>
  </si>
  <si>
    <t>Самсон</t>
  </si>
  <si>
    <t>АК-11.5</t>
  </si>
  <si>
    <t>Многофункциональное АСС/маломерное</t>
  </si>
  <si>
    <t>Байкал</t>
  </si>
  <si>
    <t>Водолаз-31</t>
  </si>
  <si>
    <t>Водолаз-32</t>
  </si>
  <si>
    <t>Север-7</t>
  </si>
  <si>
    <t>Буксирное судно</t>
  </si>
  <si>
    <t>МРК-1000</t>
  </si>
  <si>
    <t>Бонопостановщик, многофункциональный катер</t>
  </si>
  <si>
    <t>АДМИРАЛ ADM-610-1</t>
  </si>
  <si>
    <t>Адмирал 610</t>
  </si>
  <si>
    <t>АДМИРАЛ ADM-610-2</t>
  </si>
  <si>
    <t>Раскат</t>
  </si>
  <si>
    <t>РК-700-1</t>
  </si>
  <si>
    <t>РК-700</t>
  </si>
  <si>
    <t>РМС 09-30</t>
  </si>
  <si>
    <t>Hitek-85C</t>
  </si>
  <si>
    <t>FIB</t>
  </si>
  <si>
    <t>Прогресс 4</t>
  </si>
  <si>
    <t>Прогресс-4</t>
  </si>
  <si>
    <t>моторное судно</t>
  </si>
  <si>
    <t>Camper 470</t>
  </si>
  <si>
    <t>CAMPER RIB Atlantic series 470</t>
  </si>
  <si>
    <t>RIB</t>
  </si>
  <si>
    <t>RM540</t>
  </si>
  <si>
    <t>RM 540 LTB</t>
  </si>
  <si>
    <t>YAXE (РАА 96-39)</t>
  </si>
  <si>
    <t>HD 365</t>
  </si>
  <si>
    <t>Надувная лодка</t>
  </si>
  <si>
    <t>Адмирал-1</t>
  </si>
  <si>
    <t>Спасательный катер, бонопостановщик</t>
  </si>
  <si>
    <t>Адмирал-2</t>
  </si>
  <si>
    <t>Адмирал-3</t>
  </si>
  <si>
    <t>Поисково-спасательные и буксирные операции в целях защиты и сохранения морской среды</t>
  </si>
  <si>
    <t>Адмирал-4</t>
  </si>
  <si>
    <t>Аквамаран-1</t>
  </si>
  <si>
    <t>Аквамаран 470</t>
  </si>
  <si>
    <t>Аквамаран</t>
  </si>
  <si>
    <t>Аквамаран-2</t>
  </si>
  <si>
    <t>Аквамаран-3</t>
  </si>
  <si>
    <t>Altair PRO ultra 460</t>
  </si>
  <si>
    <t>моторная лодка</t>
  </si>
  <si>
    <t>Аквамаран-4</t>
  </si>
  <si>
    <t>Алиот</t>
  </si>
  <si>
    <t>HS-1500</t>
  </si>
  <si>
    <t>Спасательное, бонопостановщик</t>
  </si>
  <si>
    <t>МП, ВВП</t>
  </si>
  <si>
    <t>Альтаир</t>
  </si>
  <si>
    <t>Бонопостановщик, мусоросбощик</t>
  </si>
  <si>
    <t>Альфард</t>
  </si>
  <si>
    <t>Амур-2</t>
  </si>
  <si>
    <t>Амур</t>
  </si>
  <si>
    <t>Моторная лодка</t>
  </si>
  <si>
    <t>Амур-В</t>
  </si>
  <si>
    <t>Арго</t>
  </si>
  <si>
    <t>Катер</t>
  </si>
  <si>
    <t>Artic-1200</t>
  </si>
  <si>
    <t>Арнеб</t>
  </si>
  <si>
    <t>HS1500</t>
  </si>
  <si>
    <t>АСПТР-7</t>
  </si>
  <si>
    <t>02280</t>
  </si>
  <si>
    <t>несамоходный плашкоут</t>
  </si>
  <si>
    <t>Б-407</t>
  </si>
  <si>
    <t>БМК-130М</t>
  </si>
  <si>
    <t>Буксирно-моторный катер</t>
  </si>
  <si>
    <t>Барс</t>
  </si>
  <si>
    <t>Борей</t>
  </si>
  <si>
    <t>Сибирь 525</t>
  </si>
  <si>
    <t>Бриз</t>
  </si>
  <si>
    <t>Фантом-650</t>
  </si>
  <si>
    <t>Аэролодка</t>
  </si>
  <si>
    <t>БТ-566</t>
  </si>
  <si>
    <t>Нижний Новгород</t>
  </si>
  <si>
    <t>О мс1,5</t>
  </si>
  <si>
    <t>Буревестник-430</t>
  </si>
  <si>
    <t>RIB 430</t>
  </si>
  <si>
    <t>МП ВВП ВП</t>
  </si>
  <si>
    <t>Быстрый</t>
  </si>
  <si>
    <t>Гера</t>
  </si>
  <si>
    <t>SN0316A</t>
  </si>
  <si>
    <t>Мотобот</t>
  </si>
  <si>
    <t>Кайган</t>
  </si>
  <si>
    <t>SWR-120</t>
  </si>
  <si>
    <t>Карат</t>
  </si>
  <si>
    <t>Lamor LC-9000</t>
  </si>
  <si>
    <t>Карат-2</t>
  </si>
  <si>
    <t>Lamor LC-7500</t>
  </si>
  <si>
    <t>МП, ВВП, ВП</t>
  </si>
  <si>
    <t>Карат-3</t>
  </si>
  <si>
    <t>Карат-4</t>
  </si>
  <si>
    <t>RIB RM530</t>
  </si>
  <si>
    <t>Карелия</t>
  </si>
  <si>
    <t>Касатка</t>
  </si>
  <si>
    <t>Касатка-650</t>
  </si>
  <si>
    <t>ВВП</t>
  </si>
  <si>
    <t>Катран</t>
  </si>
  <si>
    <t>Корсар</t>
  </si>
  <si>
    <t>Моторная лодка/ бонопостановщик</t>
  </si>
  <si>
    <t>ЛАРН-1</t>
  </si>
  <si>
    <t>Hitek-85C Cabin</t>
  </si>
  <si>
    <t>ЛАРН-2</t>
  </si>
  <si>
    <t>ЛАРН-3</t>
  </si>
  <si>
    <t>Ласточка</t>
  </si>
  <si>
    <t>СВ.17633./М</t>
  </si>
  <si>
    <t>Разъездной катер</t>
  </si>
  <si>
    <t>Мезень</t>
  </si>
  <si>
    <t>Вельбот 42</t>
  </si>
  <si>
    <t>МОБ-20</t>
  </si>
  <si>
    <t>Катер-бонопостановщик</t>
  </si>
  <si>
    <t>МСС-01</t>
  </si>
  <si>
    <t>МСС-02</t>
  </si>
  <si>
    <t>Нефтесборщик</t>
  </si>
  <si>
    <t>Находка</t>
  </si>
  <si>
    <t>МСС-03</t>
  </si>
  <si>
    <t>МСС-04</t>
  </si>
  <si>
    <t>Неман-2 (РЖД 08-77)</t>
  </si>
  <si>
    <t>Неман-2</t>
  </si>
  <si>
    <t>Нерей</t>
  </si>
  <si>
    <t>Mariner-1500</t>
  </si>
  <si>
    <t>Водолазный катер</t>
  </si>
  <si>
    <t>Нефтесборщик-1</t>
  </si>
  <si>
    <t>Нефтесборщик-2</t>
  </si>
  <si>
    <t>РФНТ.361164</t>
  </si>
  <si>
    <t>Онега</t>
  </si>
  <si>
    <t>П-201</t>
  </si>
  <si>
    <t>Плавучая площадка для ПТР</t>
  </si>
  <si>
    <t>Пикник</t>
  </si>
  <si>
    <t>№ 1733-464-008</t>
  </si>
  <si>
    <t>шаланда</t>
  </si>
  <si>
    <t>ПК-206</t>
  </si>
  <si>
    <t>ПК-313</t>
  </si>
  <si>
    <t>2222А</t>
  </si>
  <si>
    <t>Прогресс (РЖД 08-78)</t>
  </si>
  <si>
    <t>Прогресс-2</t>
  </si>
  <si>
    <t>ПРП-20 №40</t>
  </si>
  <si>
    <t>Р 1,2 I</t>
  </si>
  <si>
    <t>Резвый</t>
  </si>
  <si>
    <t>РК-700-2</t>
  </si>
  <si>
    <t>РК-700-3</t>
  </si>
  <si>
    <t>РСЯ 05-42</t>
  </si>
  <si>
    <t>РСЯ 06-80 (без рубки)</t>
  </si>
  <si>
    <t>РСЯ 06-82</t>
  </si>
  <si>
    <t>РСЯ 07-52</t>
  </si>
  <si>
    <t>Lamor 7500 Cabin</t>
  </si>
  <si>
    <t>Постановка бонов</t>
  </si>
  <si>
    <t>РСЯ 07-53</t>
  </si>
  <si>
    <t>Lamor 7500</t>
  </si>
  <si>
    <t>РУМ 52-46</t>
  </si>
  <si>
    <t>Форвард-420</t>
  </si>
  <si>
    <t>Север-46</t>
  </si>
  <si>
    <t>Сигнал</t>
  </si>
  <si>
    <t>Обслуживающее судно</t>
  </si>
  <si>
    <t>Силегс</t>
  </si>
  <si>
    <t>Sealegs 7/1 Rib</t>
  </si>
  <si>
    <t>RIB с колёсами</t>
  </si>
  <si>
    <t>Скат</t>
  </si>
  <si>
    <t>БЛ-820</t>
  </si>
  <si>
    <t>Спартак</t>
  </si>
  <si>
    <t>Спасатель-1</t>
  </si>
  <si>
    <t>Астраханка-520</t>
  </si>
  <si>
    <t>Parker 900 Baltic</t>
  </si>
  <si>
    <t>KMD430Pro</t>
  </si>
  <si>
    <t>Спасатель-2</t>
  </si>
  <si>
    <t>Спасатель-3</t>
  </si>
  <si>
    <t>Спасатель-4</t>
  </si>
  <si>
    <t>Спасатель-5</t>
  </si>
  <si>
    <t>Спортис</t>
  </si>
  <si>
    <t>S7500К</t>
  </si>
  <si>
    <t>ЛАРН-4</t>
  </si>
  <si>
    <t>Спасательный катер</t>
  </si>
  <si>
    <t>УРА-1</t>
  </si>
  <si>
    <t>УРА-2</t>
  </si>
  <si>
    <t>УРА-3</t>
  </si>
  <si>
    <t>УРА-4</t>
  </si>
  <si>
    <t>Фаворит F-420 KH</t>
  </si>
  <si>
    <t>Фаворит F-500</t>
  </si>
  <si>
    <t>Фаворит-470</t>
  </si>
  <si>
    <t>Фаворит F 470</t>
  </si>
  <si>
    <t>Фаворит-470 (РАФ 19-04)</t>
  </si>
  <si>
    <t>Фрегат М-430</t>
  </si>
  <si>
    <t>Хайтек 85C</t>
  </si>
  <si>
    <t>Хайтек-75-1</t>
  </si>
  <si>
    <t>Hitek-75</t>
  </si>
  <si>
    <t>Хайтек-75-2</t>
  </si>
  <si>
    <t>Хивус-10</t>
  </si>
  <si>
    <t>ХИВУС-10</t>
  </si>
  <si>
    <t>катер на воздушной подушке</t>
  </si>
  <si>
    <t>Механик Лепилин</t>
  </si>
  <si>
    <t>Шельф GTJet</t>
  </si>
  <si>
    <t>Катер бонозаводчик</t>
  </si>
  <si>
    <t>ЭКО-1</t>
  </si>
  <si>
    <t>Катамаран</t>
  </si>
  <si>
    <t>Понтон моторный</t>
  </si>
  <si>
    <t>ЭКО-2МС</t>
  </si>
  <si>
    <t>СП3М.02Р</t>
  </si>
  <si>
    <t>МСС-05</t>
  </si>
  <si>
    <t>Спасательное, патрульное</t>
  </si>
  <si>
    <t>Тип</t>
  </si>
  <si>
    <t>катер</t>
  </si>
  <si>
    <t>скб</t>
  </si>
  <si>
    <t>ск</t>
  </si>
  <si>
    <t>сб</t>
  </si>
  <si>
    <t>сквп</t>
  </si>
  <si>
    <t>мфасс</t>
  </si>
  <si>
    <t>баржа</t>
  </si>
  <si>
    <t>мвс</t>
  </si>
  <si>
    <t>нис</t>
  </si>
  <si>
    <t>брандвахта</t>
  </si>
  <si>
    <t>сбп</t>
  </si>
  <si>
    <t>рвк</t>
  </si>
  <si>
    <t>нсс</t>
  </si>
  <si>
    <t>сбс</t>
  </si>
  <si>
    <t>кран</t>
  </si>
  <si>
    <t>спк</t>
  </si>
  <si>
    <t>причал</t>
  </si>
  <si>
    <t>пс</t>
  </si>
  <si>
    <t>НМС-К</t>
  </si>
  <si>
    <t>Артик</t>
  </si>
  <si>
    <t>KM* Icebreaker6 [1] AUT1-ICS OMBO FF3WS EPP DYNPOS-1 ECO-S HELIDECK oil recovery ship(&gt;60°C)/salvage ship/tug</t>
  </si>
  <si>
    <t>KM* Ice1 [1] AUT1 SDS&lt;60 HELIDECK-H special purpose ship</t>
  </si>
  <si>
    <t>Район</t>
  </si>
  <si>
    <t>АЧ</t>
  </si>
  <si>
    <t>БАР</t>
  </si>
  <si>
    <t>БАЛ</t>
  </si>
  <si>
    <t>ОМ</t>
  </si>
  <si>
    <t>БЕР</t>
  </si>
  <si>
    <t>ВОЛГ</t>
  </si>
  <si>
    <t>КАСП</t>
  </si>
  <si>
    <t>ЯП</t>
  </si>
  <si>
    <t>ВСЕГО</t>
  </si>
  <si>
    <t>Многофункциональное аварийно-спасательное судно</t>
  </si>
  <si>
    <t>Спасательные буксирные и нефтесборные суда</t>
  </si>
  <si>
    <t>Спасательный катер-бонопостановщик или катер-бонопостановщик/
нефтесборщик</t>
  </si>
  <si>
    <t>Стандарт</t>
  </si>
  <si>
    <t>Факт</t>
  </si>
  <si>
    <t>Откл.</t>
  </si>
  <si>
    <t>ТБС+
АСС</t>
  </si>
  <si>
    <t>НСС</t>
  </si>
  <si>
    <t>Всего</t>
  </si>
  <si>
    <t>Западный район Арктического бассейна</t>
  </si>
  <si>
    <t>Восточный район Арктического бассейна</t>
  </si>
  <si>
    <t>Берингово море</t>
  </si>
  <si>
    <t>Охотское море и Тататрский пролив</t>
  </si>
  <si>
    <t>Японское море</t>
  </si>
  <si>
    <t>Каспийское море</t>
  </si>
  <si>
    <t>Черноморско-Азовский бассейн</t>
  </si>
  <si>
    <t>Балтийское море</t>
  </si>
  <si>
    <t>ИТОГО</t>
  </si>
  <si>
    <t>Средний 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</si>
</sst>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rgb="FFFFFFFF"/>
      <name val="Calibri"/>
    </font>
    <font>
      <sz val="9"/>
      <color rgb="FF666666"/>
      <name val="Calibri"/>
    </font>
    <font>
      <b/>
      <sz val="10"/>
      <color rgb="FF1A1A1A"/>
      <name val="Calibri"/>
    </font>
    <font>
      <sz val="9"/>
      <color rgb="FF1A1A1A"/>
      <name val="Calibri"/>
    </font>
    <font>
      <sz val="8"/>
      <color rgb="FF555555"/>
      <name val="Calibri"/>
    </font>
    <font>
      <sz val="9"/>
      <color rgb="FF8B4513"/>
      <name val="Calibri"/>
    </font>
    <font>
      <b/>
      <sz val="9"/>
      <color rgb="FFC0392B"/>
      <name val="Calibri"/>
    </font>
    <font>
      <u/>
      <sz val="8"/>
      <color rgb="FF1F497D"/>
      <name val="Calibri"/>
    </font>
    <font>
      <u/>
      <sz val="11"/>
      <color theme="10"/>
      <name val="Calibri"/>
      <family val="2"/>
      <scheme val="minor"/>
    </font>
    <font>
      <u/>
      <sz val="7"/>
      <color theme="10"/>
      <name val="Calibri"/>
      <family val="2"/>
      <scheme val="minor"/>
    </font>
    <font>
      <u/>
      <sz val="7"/>
      <color rgb="FF1F497D"/>
      <name val="Calibri"/>
      <family val="2"/>
    </font>
    <font>
      <sz val="7"/>
      <color rgb="FF555555"/>
      <name val="Calibri"/>
      <family val="2"/>
    </font>
    <font>
      <sz val="8"/>
      <color rgb="FF555555"/>
      <name val="Calibri"/>
      <family val="2"/>
      <charset val="204"/>
    </font>
    <font>
      <sz val="11"/>
      <color rgb="FF0F1115"/>
      <name val="Segoe UI"/>
      <family val="2"/>
      <charset val="204"/>
    </font>
    <font>
      <b/>
      <sz val="11"/>
      <color rgb="FF0F1115"/>
      <name val="Segoe U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2C308F"/>
      </patternFill>
    </fill>
    <fill>
      <patternFill patternType="solid">
        <fgColor rgb="FFD6E4F0"/>
      </patternFill>
    </fill>
    <fill>
      <patternFill patternType="solid">
        <fgColor rgb="FFDFF2E5"/>
      </patternFill>
    </fill>
    <fill>
      <patternFill patternType="solid">
        <fgColor rgb="FFFEF3DC"/>
      </patternFill>
    </fill>
    <fill>
      <patternFill patternType="solid">
        <fgColor rgb="FFF9F9F9"/>
      </patternFill>
    </fill>
    <fill>
      <patternFill patternType="solid">
        <fgColor rgb="FFFADBD8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0" fillId="0" borderId="0" xfId="0"/>
    <xf numFmtId="0" fontId="9" fillId="3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0" fillId="0" borderId="0" xfId="0"/>
    <xf numFmtId="0" fontId="11" fillId="3" borderId="2" xfId="1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5" fillId="8" borderId="3" xfId="2" applyFont="1" applyFill="1" applyBorder="1" applyAlignment="1">
      <alignment horizontal="left" vertical="center" wrapText="1" indent="1"/>
    </xf>
    <xf numFmtId="0" fontId="16" fillId="8" borderId="4" xfId="2" applyFont="1" applyFill="1" applyBorder="1" applyAlignment="1">
      <alignment horizontal="left" vertical="center" wrapText="1" indent="1"/>
    </xf>
    <xf numFmtId="0" fontId="1" fillId="0" borderId="0" xfId="2"/>
    <xf numFmtId="0" fontId="16" fillId="8" borderId="3" xfId="2" applyFont="1" applyFill="1" applyBorder="1" applyAlignment="1">
      <alignment horizontal="center" vertical="center" wrapText="1"/>
    </xf>
    <xf numFmtId="0" fontId="15" fillId="8" borderId="3" xfId="2" applyFont="1" applyFill="1" applyBorder="1" applyAlignment="1">
      <alignment horizontal="center" vertical="center" wrapText="1"/>
    </xf>
    <xf numFmtId="0" fontId="1" fillId="0" borderId="3" xfId="2" applyBorder="1" applyAlignment="1">
      <alignment horizontal="center"/>
    </xf>
    <xf numFmtId="0" fontId="1" fillId="8" borderId="3" xfId="2" applyFill="1" applyBorder="1" applyAlignment="1">
      <alignment horizontal="center"/>
    </xf>
    <xf numFmtId="0" fontId="15" fillId="8" borderId="4" xfId="2" applyFont="1" applyFill="1" applyBorder="1" applyAlignment="1">
      <alignment horizontal="center" vertical="center" wrapText="1"/>
    </xf>
    <xf numFmtId="0" fontId="15" fillId="8" borderId="5" xfId="2" applyFont="1" applyFill="1" applyBorder="1" applyAlignment="1">
      <alignment horizontal="center" vertical="center" wrapText="1"/>
    </xf>
    <xf numFmtId="0" fontId="15" fillId="8" borderId="6" xfId="2" applyFont="1" applyFill="1" applyBorder="1" applyAlignment="1">
      <alignment horizontal="center" vertical="center" wrapText="1"/>
    </xf>
    <xf numFmtId="0" fontId="15" fillId="8" borderId="3" xfId="2" applyFont="1" applyFill="1" applyBorder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C:\Users\potapoval\Downloads\&#1050;&#1083;&#1072;&#1089;&#1089;\&#1056;&#1050;&#1054;\&#1041;-104%20&#1057;&#1041;.pdf" TargetMode="External"/><Relationship Id="rId21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-3%20&#1057;&#1072;&#1093;.pdf" TargetMode="External"/><Relationship Id="rId42" Type="http://schemas.openxmlformats.org/officeDocument/2006/relationships/hyperlink" Target="file:///C:\Users\potapoval\Downloads\&#1050;&#1083;&#1072;&#1089;&#1089;\&#1056;&#1050;&#1054;\&#1055;&#1050;-206.pdf" TargetMode="External"/><Relationship Id="rId63" Type="http://schemas.openxmlformats.org/officeDocument/2006/relationships/hyperlink" Target="file:///C:\Users\potapoval\Downloads\&#1050;&#1083;&#1072;&#1089;&#1089;\&#1043;&#1048;&#1052;&#1057;\&#1050;&#1072;&#1089;&#1072;&#1090;&#1082;&#1072;%20&#1057;&#1041;.PDF" TargetMode="External"/><Relationship Id="rId84" Type="http://schemas.openxmlformats.org/officeDocument/2006/relationships/hyperlink" Target="file:///C:\Users\potapoval\Downloads\&#1050;&#1083;&#1072;&#1089;&#1089;\&#1056;&#1052;&#1056;&#1057;%20&#1089;%20&#1040;&#1054;\&#1040;&#1083;&#1100;&#1090;&#1072;&#1080;&#1088;%20&#1041;&#1072;&#1083;&#1090;%20&#1057;&#1041;.pdf" TargetMode="External"/><Relationship Id="rId138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54;&#1093;&#1086;&#1076;&#1086;&#1074;.pdf" TargetMode="External"/><Relationship Id="rId159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7;&#1072;&#1079;&#1086;&#1085;&#1086;&#1074;.pdf" TargetMode="External"/><Relationship Id="rId170" Type="http://schemas.openxmlformats.org/officeDocument/2006/relationships/hyperlink" Target="file:///C:\Users\potapoval\Downloads\&#1050;&#1083;&#1072;&#1089;&#1089;\&#1056;&#1050;&#1054;\&#1055;&#1088;&#1080;&#1073;&#1088;&#1077;&#1078;&#1085;&#1099;&#1081;.pdf" TargetMode="External"/><Relationship Id="rId191" Type="http://schemas.openxmlformats.org/officeDocument/2006/relationships/hyperlink" Target="file:///C:\Users\potapoval\Downloads\&#1050;&#1083;&#1072;&#1089;&#1089;\&#1056;&#1050;&#1054;\&#1041;&#1057;-510%20&#1057;&#1074;-&#1074;&#1086;%20&#1050;&#1083;&#1072;&#1089;&#1089;%2019.07.18.pdf" TargetMode="External"/><Relationship Id="rId205" Type="http://schemas.openxmlformats.org/officeDocument/2006/relationships/hyperlink" Target="file:///C:\Users\potapoval\Downloads\&#1050;&#1083;&#1072;&#1089;&#1089;\&#1056;&#1050;&#1054;\&#1055;&#1050;-506.pdf" TargetMode="External"/><Relationship Id="rId226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41;&#1077;&#1082;&#1083;&#1077;&#1084;&#1080;&#1096;&#1077;&#1074;.pdf" TargetMode="External"/><Relationship Id="rId247" Type="http://schemas.openxmlformats.org/officeDocument/2006/relationships/hyperlink" Target="file:///C:\Users\potapoval\Downloads\&#1050;&#1083;&#1072;&#1089;&#1089;\&#1056;&#1052;&#1056;&#1057;%20&#1089;%20&#1040;&#1054;\&#1053;&#1072;&#1088;&#1074;&#1072;&#1083;.pdf" TargetMode="External"/><Relationship Id="rId107" Type="http://schemas.openxmlformats.org/officeDocument/2006/relationships/hyperlink" Target="file:///C:\Users\potapoval\Downloads\&#1050;&#1083;&#1072;&#1089;&#1089;\&#1056;&#1052;&#1056;&#1057;%20&#1089;%20&#1040;&#1054;\&#1057;&#1072;&#1084;&#1089;&#1086;&#1085;%20&#1057;&#1041;.pdf" TargetMode="External"/><Relationship Id="rId11" Type="http://schemas.openxmlformats.org/officeDocument/2006/relationships/hyperlink" Target="file:///C:\Users\potapoval\Downloads\&#1050;&#1083;&#1072;&#1089;&#1089;\&#1056;&#1052;&#1056;&#1057;%20&#1089;%20&#1040;&#1054;\&#1060;&#1072;&#1074;&#1086;&#1088;&#1080;&#1090;%20500%20&#1057;&#1041;.pdf" TargetMode="External"/><Relationship Id="rId32" Type="http://schemas.openxmlformats.org/officeDocument/2006/relationships/hyperlink" Target="file:///C:\Users\potapoval\Downloads\&#1050;&#1083;&#1072;&#1089;&#1089;\&#1056;&#1052;&#1056;&#1057;%20&#1089;%20&#1040;&#1054;\&#1056;&#1057;&#1071;%2006-82%20&#1057;&#1041;.pdf" TargetMode="External"/><Relationship Id="rId53" Type="http://schemas.openxmlformats.org/officeDocument/2006/relationships/hyperlink" Target="file:///C:\Users\potapoval\Downloads\&#1050;&#1083;&#1072;&#1089;&#1089;\&#1056;&#1052;&#1056;&#1057;%20&#1089;%20&#1040;&#1054;\&#1052;&#1057;&#1057;-02%20&#1057;&#1041;.pdf" TargetMode="External"/><Relationship Id="rId74" Type="http://schemas.openxmlformats.org/officeDocument/2006/relationships/hyperlink" Target="file:///C:\Users\potapoval\Downloads\&#1050;&#1083;&#1072;&#1089;&#1089;\&#1043;&#1048;&#1052;&#1057;\&#1041;&#1086;&#1088;&#1077;&#1081;%20&#1057;&#1041;.pdf" TargetMode="External"/><Relationship Id="rId128" Type="http://schemas.openxmlformats.org/officeDocument/2006/relationships/hyperlink" Target="file:///C:\Users\potapoval\Downloads\&#1050;&#1083;&#1072;&#1089;&#1089;\&#1056;&#1052;&#1056;&#1057;%20&#1089;%20&#1040;&#1054;\&#1043;&#1077;&#1085;&#1085;&#1072;&#1076;&#1080;&#1081;%20&#1050;&#1086;&#1078;&#1091;&#1093;&#1086;&#1074;.pdf" TargetMode="External"/><Relationship Id="rId149" Type="http://schemas.openxmlformats.org/officeDocument/2006/relationships/hyperlink" Target="file:///C:\Users\potapoval\Downloads\&#1050;&#1083;&#1072;&#1089;&#1089;\&#1056;&#1052;&#1056;&#1057;%20&#1089;%20&#1040;&#1054;\&#1051;&#1086;&#1094;&#1084;&#1072;&#1085;%20&#1043;&#1072;&#1088;&#1082;&#1091;&#1096;&#1072;.pdf" TargetMode="External"/><Relationship Id="rId5" Type="http://schemas.openxmlformats.org/officeDocument/2006/relationships/hyperlink" Target="file:///C:\Users\potapoval\Downloads\&#1050;&#1083;&#1072;&#1089;&#1089;\&#1056;&#1052;&#1056;&#1057;%20&#1089;%20&#1040;&#1054;\&#1052;&#1077;&#1093;&#1072;&#1085;&#1080;&#1082;%20&#1051;&#1077;&#1087;&#1080;&#1083;&#1080;&#1085;.pdf" TargetMode="External"/><Relationship Id="rId95" Type="http://schemas.openxmlformats.org/officeDocument/2006/relationships/hyperlink" Target="file:///C:\Users\potapoval\Downloads\&#1050;&#1083;&#1072;&#1089;&#1089;\&#1043;&#1048;&#1052;&#1057;\RM%20540%20&#1057;&#1041;.pdf" TargetMode="External"/><Relationship Id="rId160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5;&#1077;&#1095;&#1082;&#1091;&#1088;&#1086;&#1074;.pdf" TargetMode="External"/><Relationship Id="rId181" Type="http://schemas.openxmlformats.org/officeDocument/2006/relationships/hyperlink" Target="file:///C:\Users\potapoval\Downloads\&#1050;&#1083;&#1072;&#1089;&#1089;\&#1056;&#1050;&#1054;\&#1043;&#1088;&#1080;&#1075;&#1086;&#1088;&#1080;&#1081;%20&#1050;&#1072;&#1096;&#1090;&#1072;&#1082;&#1086;&#1074;.pdf" TargetMode="External"/><Relationship Id="rId216" Type="http://schemas.openxmlformats.org/officeDocument/2006/relationships/hyperlink" Target="file:///C:\Users\potapoval\Downloads\&#1050;&#1083;&#1072;&#1089;&#1089;\&#1056;&#1052;&#1056;&#1057;%20&#1089;%20&#1040;&#1054;\&#1057;&#1055;&#1050;%2019-35.pdf" TargetMode="External"/><Relationship Id="rId237" Type="http://schemas.openxmlformats.org/officeDocument/2006/relationships/hyperlink" Target="file:///C:\Users\potapoval\Downloads\&#1050;&#1083;&#1072;&#1089;&#1089;\&#1056;&#1052;&#1056;&#1057;%20&#1089;%20&#1040;&#1054;\&#1054;&#1090;&#1090;&#1086;%20&#1064;&#1084;&#1080;&#1076;&#1090;.pdf" TargetMode="External"/><Relationship Id="rId22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-2%20&#1050;&#1072;&#1089;&#1087;%20&#1057;&#1041;.pdf" TargetMode="External"/><Relationship Id="rId43" Type="http://schemas.openxmlformats.org/officeDocument/2006/relationships/hyperlink" Target="file:///C:\Users\potapoval\Downloads\&#1050;&#1083;&#1072;&#1089;&#1089;\&#1056;&#1052;&#1056;&#1057;%20&#1089;%20&#1040;&#1054;\&#1055;&#1080;&#1082;&#1085;&#1080;&#1082;.pdf" TargetMode="External"/><Relationship Id="rId64" Type="http://schemas.openxmlformats.org/officeDocument/2006/relationships/hyperlink" Target="file:///C:\Users\potapoval\Downloads\&#1050;&#1083;&#1072;&#1089;&#1089;\&#1056;&#1052;&#1056;&#1057;%20&#1089;%20&#1040;&#1054;\&#1050;&#1072;&#1088;&#1077;&#1083;&#1080;&#1103;%20&#1057;&#1041;.pdf" TargetMode="External"/><Relationship Id="rId118" Type="http://schemas.openxmlformats.org/officeDocument/2006/relationships/hyperlink" Target="file:///C:\Users\potapoval\Downloads\&#1050;&#1083;&#1072;&#1089;&#1089;\&#1056;&#1052;&#1056;&#1057;%20&#1089;%20&#1040;&#1054;\&#1053;&#1052;&#1057;-17.pdf" TargetMode="External"/><Relationship Id="rId139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52;&#1080;&#1096;&#1080;&#1085;.pdf" TargetMode="External"/><Relationship Id="rId85" Type="http://schemas.openxmlformats.org/officeDocument/2006/relationships/hyperlink" Target="file:///C:\Users\potapoval\Downloads\&#1050;&#1083;&#1072;&#1089;&#1089;\&#1056;&#1052;&#1056;&#1057;%20&#1089;%20&#1040;&#1054;\&#1040;&#1083;&#1080;&#1086;&#1090;%20&#1057;&#1041;.pdf" TargetMode="External"/><Relationship Id="rId150" Type="http://schemas.openxmlformats.org/officeDocument/2006/relationships/hyperlink" Target="file:///C:\Users\potapoval\Downloads\&#1050;&#1083;&#1072;&#1089;&#1089;\&#1056;&#1052;&#1056;&#1057;%20&#1089;%20&#1040;&#1054;\&#1042;&#1086;&#1076;&#1086;&#1083;&#1072;&#1079;-14.pdf" TargetMode="External"/><Relationship Id="rId171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43;&#1088;&#1080;&#1094;&#1072;&#1081;.pdf" TargetMode="External"/><Relationship Id="rId192" Type="http://schemas.openxmlformats.org/officeDocument/2006/relationships/hyperlink" Target="file:///C:\Users\potapoval\Downloads\&#1050;&#1083;&#1072;&#1089;&#1089;\&#1056;&#1052;&#1056;&#1057;%20&#1089;%20&#1040;&#1054;\&#1055;&#1056;&#1055;-4.pdf" TargetMode="External"/><Relationship Id="rId206" Type="http://schemas.openxmlformats.org/officeDocument/2006/relationships/hyperlink" Target="file:///C:\Users\potapoval\Downloads\&#1050;&#1083;&#1072;&#1089;&#1089;\&#1056;&#1050;&#1054;\&#1055;&#1050;-712.PDF" TargetMode="External"/><Relationship Id="rId227" Type="http://schemas.openxmlformats.org/officeDocument/2006/relationships/hyperlink" Target="file:///C:\Users\potapoval\Downloads\&#1050;&#1083;&#1072;&#1089;&#1089;\&#1056;&#1052;&#1056;&#1057;%20&#1089;%20&#1040;&#1054;\&#1051;&#1072;&#1079;&#1091;&#1088;&#1080;&#1090;.pdf" TargetMode="External"/><Relationship Id="rId248" Type="http://schemas.openxmlformats.org/officeDocument/2006/relationships/hyperlink" Target="file:///C:\Users\potapoval\Downloads\&#1050;&#1083;&#1072;&#1089;&#1089;\&#1056;&#1052;&#1056;&#1057;%20&#1089;%20&#1040;&#1054;\&#1059;&#1084;&#1082;&#1072;.pdf" TargetMode="External"/><Relationship Id="rId12" Type="http://schemas.openxmlformats.org/officeDocument/2006/relationships/hyperlink" Target="file:///C:\Users\potapoval\Downloads\&#1050;&#1083;&#1072;&#1089;&#1089;\&#1043;&#1048;&#1052;&#1057;\&#1060;&#1072;&#1074;&#1086;&#1088;&#1080;&#1090;%20420&#1050;&#1053;%20&#1057;&#1041;.pdf" TargetMode="External"/><Relationship Id="rId33" Type="http://schemas.openxmlformats.org/officeDocument/2006/relationships/hyperlink" Target="file:///C:\Users\potapoval\Downloads\&#1050;&#1083;&#1072;&#1089;&#1089;\&#1056;&#1052;&#1056;&#1057;%20&#1089;%20&#1040;&#1054;\&#1056;&#1057;&#1071;%2006-80%20&#1057;&#1041;.pdf" TargetMode="External"/><Relationship Id="rId108" Type="http://schemas.openxmlformats.org/officeDocument/2006/relationships/hyperlink" Target="file:///C:\Users\potapoval\Downloads\&#1050;&#1083;&#1072;&#1089;&#1089;\&#1056;&#1052;&#1056;&#1057;%20&#1089;%20&#1040;&#1054;\&#1040;&#1081;&#1088;&#1091;&#1087;.pdf" TargetMode="External"/><Relationship Id="rId129" Type="http://schemas.openxmlformats.org/officeDocument/2006/relationships/hyperlink" Target="file:///C:\Users\potapoval\Downloads\&#1050;&#1083;&#1072;&#1089;&#1089;\&#1056;&#1052;&#1056;&#1057;%20&#1089;%20&#1040;&#1054;\&#1042;&#1080;&#1082;&#1090;&#1086;&#1088;%20&#1055;&#1077;&#1090;&#1088;&#1086;&#1074;.pdf" TargetMode="External"/><Relationship Id="rId54" Type="http://schemas.openxmlformats.org/officeDocument/2006/relationships/hyperlink" Target="file:///C:\Users\potapoval\Downloads\&#1050;&#1083;&#1072;&#1089;&#1089;\&#1056;&#1052;&#1056;&#1057;%20&#1089;%20&#1040;&#1054;\&#1052;&#1057;&#1057;-01%20&#1057;&#1041;.pdf" TargetMode="External"/><Relationship Id="rId70" Type="http://schemas.openxmlformats.org/officeDocument/2006/relationships/hyperlink" Target="file:///C:\Users\potapoval\Downloads\&#1050;&#1083;&#1072;&#1089;&#1089;\&#1056;&#1052;&#1056;&#1057;%20&#1089;%20&#1040;&#1054;\&#1041;&#1099;&#1089;&#1090;&#1088;&#1099;&#1081;.pdf" TargetMode="External"/><Relationship Id="rId75" Type="http://schemas.openxmlformats.org/officeDocument/2006/relationships/hyperlink" Target="file:///C:\Users\potapoval\Downloads\&#1050;&#1083;&#1072;&#1089;&#1089;\&#1056;&#1052;&#1056;&#1057;%20&#1089;%20&#1040;&#1054;\&#1041;&#1072;&#1088;&#1089;%20&#1057;&#1041;.pdf" TargetMode="External"/><Relationship Id="rId91" Type="http://schemas.openxmlformats.org/officeDocument/2006/relationships/hyperlink" Target="file:///C:\Users\potapoval\Downloads\&#1050;&#1083;&#1072;&#1089;&#1089;\&#1056;&#1052;&#1056;&#1057;%20&#1089;%20&#1040;&#1054;\&#1040;&#1076;&#1084;&#1080;&#1088;&#1072;&#1083;-3%20&#1057;&#1041;.pdf" TargetMode="External"/><Relationship Id="rId96" Type="http://schemas.openxmlformats.org/officeDocument/2006/relationships/hyperlink" Target="file:///C:\Users\potapoval\Downloads\&#1050;&#1083;&#1072;&#1089;&#1089;\&#1043;&#1048;&#1052;&#1057;\&#1055;&#1088;&#1086;&#1075;&#1088;&#1077;&#1089;&#1089;-4%20&#1057;&#1041;.pdf" TargetMode="External"/><Relationship Id="rId140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41;&#1072;&#1088;&#1072;&#1073;&#1072;&#1096;.pdf" TargetMode="External"/><Relationship Id="rId145" Type="http://schemas.openxmlformats.org/officeDocument/2006/relationships/hyperlink" Target="file:///C:\Users\potapoval\Downloads\&#1050;&#1083;&#1072;&#1089;&#1089;\&#1056;&#1052;&#1056;&#1057;%20&#1089;%20&#1040;&#1054;\&#1043;&#1088;&#1086;&#1079;&#1072;.pdf" TargetMode="External"/><Relationship Id="rId161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2;&#1072;&#1083;&#1077;&#1077;&#1074;.pdf" TargetMode="External"/><Relationship Id="rId166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0;&#1091;&#1079;&#1100;&#1084;&#1080;&#1085;&#1099;&#1093;.pdf" TargetMode="External"/><Relationship Id="rId182" Type="http://schemas.openxmlformats.org/officeDocument/2006/relationships/hyperlink" Target="file:///C:\Users\potapoval\Downloads\&#1050;&#1083;&#1072;&#1089;&#1089;\&#1056;&#1052;&#1056;&#1057;%20&#1089;%20&#1040;&#1054;\&#1048;&#1084;&#1087;&#1091;&#1083;&#1100;&#1089;.pdf" TargetMode="External"/><Relationship Id="rId187" Type="http://schemas.openxmlformats.org/officeDocument/2006/relationships/hyperlink" Target="file:///C:\Users\potapoval\Downloads\&#1050;&#1083;&#1072;&#1089;&#1089;\&#1056;&#1050;&#1054;\&#1055;&#1050;-312.pdf" TargetMode="External"/><Relationship Id="rId217" Type="http://schemas.openxmlformats.org/officeDocument/2006/relationships/hyperlink" Target="file:///C:\Users\potapoval\Downloads\&#1050;&#1083;&#1072;&#1089;&#1089;\&#1056;&#1050;&#1054;\&#1041;&#1055;-2.pdf" TargetMode="External"/><Relationship Id="rId1" Type="http://schemas.openxmlformats.org/officeDocument/2006/relationships/hyperlink" Target="file:///C:\Users\potapoval\Downloads\&#1050;&#1083;&#1072;&#1089;&#1089;\&#1056;&#1052;&#1056;&#1057;%20&#1089;%20&#1040;&#1054;\&#1052;&#1057;&#1057;-05%20&#1057;&#1041;.pdf" TargetMode="External"/><Relationship Id="rId6" Type="http://schemas.openxmlformats.org/officeDocument/2006/relationships/hyperlink" Target="file:///C:\Users\potapoval\Downloads\&#1050;&#1083;&#1072;&#1089;&#1089;\&#1056;&#1052;&#1056;&#1057;%20&#1089;%20&#1040;&#1054;\&#1061;&#1080;&#1074;&#1091;&#1089;-10%20&#1057;&#1041;.pdf" TargetMode="External"/><Relationship Id="rId212" Type="http://schemas.openxmlformats.org/officeDocument/2006/relationships/hyperlink" Target="file:///C:\Users\potapoval\Downloads\&#1050;&#1083;&#1072;&#1089;&#1089;\&#1056;&#1050;&#1054;\&#1041;&#1057;-512.pdf" TargetMode="External"/><Relationship Id="rId233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50;&#1072;&#1074;&#1076;&#1077;&#1081;&#1082;&#1080;&#1085;.pdf" TargetMode="External"/><Relationship Id="rId238" Type="http://schemas.openxmlformats.org/officeDocument/2006/relationships/hyperlink" Target="file:///C:\Users\potapoval\Downloads\&#1050;&#1083;&#1072;&#1089;&#1089;\&#1056;&#1052;&#1056;&#1057;%20&#1089;%20&#1040;&#1054;\&#1053;&#1077;&#1092;&#1090;&#1077;&#1075;&#1072;&#1079;-55.pdf" TargetMode="External"/><Relationship Id="rId254" Type="http://schemas.openxmlformats.org/officeDocument/2006/relationships/hyperlink" Target="file:///C:\Users\potapoval\Downloads\&#1050;&#1083;&#1072;&#1089;&#1089;\&#1056;&#1050;&#1054;\&#1040;&#1088;&#1090;&#1077;&#1084;&#1080;&#1089;%20&#1054;&#1092;&#1092;&#1096;&#1086;&#1088;.pdf" TargetMode="External"/><Relationship Id="rId23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-1%20&#1057;&#1072;&#1093;.pdf" TargetMode="External"/><Relationship Id="rId28" Type="http://schemas.openxmlformats.org/officeDocument/2006/relationships/hyperlink" Target="file:///C:\Users\potapoval\Downloads\&#1050;&#1083;&#1072;&#1089;&#1089;\&#1056;&#1052;&#1056;&#1057;%20&#1089;%20&#1040;&#1054;\&#1057;&#1077;&#1074;&#1077;&#1088;-46%20&#1057;&#1041;.pdf" TargetMode="External"/><Relationship Id="rId49" Type="http://schemas.openxmlformats.org/officeDocument/2006/relationships/hyperlink" Target="file:///C:\Users\potapoval\Downloads\&#1050;&#1083;&#1072;&#1089;&#1089;\&#1056;&#1052;&#1056;&#1057;%20&#1089;%20&#1040;&#1054;\&#1053;&#1077;&#1088;&#1077;&#1081;%20&#1057;&#1041;.pdf" TargetMode="External"/><Relationship Id="rId114" Type="http://schemas.openxmlformats.org/officeDocument/2006/relationships/hyperlink" Target="file:///C:\Users\potapoval\Downloads\&#1050;&#1083;&#1072;&#1089;&#1089;\&#1056;&#1050;&#1054;\&#1042;-221.pdf" TargetMode="External"/><Relationship Id="rId119" Type="http://schemas.openxmlformats.org/officeDocument/2006/relationships/hyperlink" Target="file:///C:\Users\potapoval\Downloads\&#1050;&#1083;&#1072;&#1089;&#1089;\&#1056;&#1052;&#1056;&#1057;%20&#1089;%20&#1040;&#1054;\&#1052;&#1080;&#1079;&#1072;&#1088;.pdf" TargetMode="External"/><Relationship Id="rId44" Type="http://schemas.openxmlformats.org/officeDocument/2006/relationships/hyperlink" Target="file:///C:\Users\potapoval\Downloads\&#1050;&#1083;&#1072;&#1089;&#1089;\&#1056;&#1050;&#1054;\&#1055;-201.pdf" TargetMode="External"/><Relationship Id="rId60" Type="http://schemas.openxmlformats.org/officeDocument/2006/relationships/hyperlink" Target="file:///C:\Users\potapoval\Downloads\&#1050;&#1083;&#1072;&#1089;&#1089;\&#1056;&#1052;&#1056;&#1057;%20&#1089;%20&#1040;&#1054;\&#1051;&#1040;&#1056;&#1053;-1%20&#1050;&#1072;&#1084;&#1095;.pdf" TargetMode="External"/><Relationship Id="rId65" Type="http://schemas.openxmlformats.org/officeDocument/2006/relationships/hyperlink" Target="file:///C:\Users\potapoval\Downloads\&#1050;&#1083;&#1072;&#1089;&#1089;\&#1043;&#1048;&#1052;&#1057;\&#1050;&#1072;&#1088;&#1072;&#1090;-4%20&#1057;&#1041;.pdf" TargetMode="External"/><Relationship Id="rId81" Type="http://schemas.openxmlformats.org/officeDocument/2006/relationships/hyperlink" Target="file:///C:\Users\potapoval\Downloads\&#1050;&#1083;&#1072;&#1089;&#1089;\&#1043;&#1048;&#1052;&#1057;\&#1040;&#1084;&#1091;&#1088;-&#1042;%20&#1056;&#1040;&#1060;%2019-06%20&#1057;&#1041;.pdf" TargetMode="External"/><Relationship Id="rId86" Type="http://schemas.openxmlformats.org/officeDocument/2006/relationships/hyperlink" Target="file:///C:\Users\potapoval\Downloads\&#1050;&#1083;&#1072;&#1089;&#1089;\&#1056;&#1052;&#1056;&#1057;%20&#1089;%20&#1040;&#1054;\&#1040;&#1082;&#1074;&#1072;&#1084;&#1072;&#1088;&#1072;&#1085;-4%20&#1057;&#1041;.pdf" TargetMode="External"/><Relationship Id="rId130" Type="http://schemas.openxmlformats.org/officeDocument/2006/relationships/hyperlink" Target="file:///C:\Users\potapoval\Downloads\&#1050;&#1083;&#1072;&#1089;&#1089;\&#1056;&#1052;&#1056;&#1057;%20&#1089;%20&#1040;&#1054;\&#1042;&#1072;&#1083;&#1077;&#1088;&#1080;&#1081;%20&#1041;&#1072;&#1088;&#1089;&#1082;&#1080;&#1081;.pdf" TargetMode="External"/><Relationship Id="rId135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40;&#1083;&#1077;&#1082;&#1089;&#1102;&#1082;.pdf" TargetMode="External"/><Relationship Id="rId151" Type="http://schemas.openxmlformats.org/officeDocument/2006/relationships/hyperlink" Target="file:///C:\Users\potapoval\Downloads\&#1050;&#1083;&#1072;&#1089;&#1089;\&#1056;&#1052;&#1056;&#1057;%20&#1089;%20&#1040;&#1054;\&#1044;&#1077;&#1088;&#1079;&#1082;&#1080;&#1081;.pdf" TargetMode="External"/><Relationship Id="rId156" Type="http://schemas.openxmlformats.org/officeDocument/2006/relationships/hyperlink" Target="file:///C:\Users\potapoval\Downloads\&#1050;&#1083;&#1072;&#1089;&#1089;\&#1056;&#1050;&#1054;\&#1041;&#1057;-928.pdf" TargetMode="External"/><Relationship Id="rId177" Type="http://schemas.openxmlformats.org/officeDocument/2006/relationships/hyperlink" Target="file:///C:\Users\potapoval\Downloads\&#1050;&#1083;&#1072;&#1089;&#1089;\&#1056;&#1052;&#1056;&#1057;%20&#1089;%20&#1040;&#1054;\&#1041;&#1091;&#1088;&#1072;&#1085;.pdf" TargetMode="External"/><Relationship Id="rId198" Type="http://schemas.openxmlformats.org/officeDocument/2006/relationships/hyperlink" Target="file:///C:\Users\potapoval\Downloads\&#1050;&#1083;&#1072;&#1089;&#1089;\&#1056;&#1052;&#1056;&#1057;%20&#1089;%20&#1040;&#1054;\&#1055;&#1077;&#1085;&#1072;&#1081;.pdf" TargetMode="External"/><Relationship Id="rId172" Type="http://schemas.openxmlformats.org/officeDocument/2006/relationships/hyperlink" Target="file:///C:\Users\potapoval\Downloads\&#1050;&#1083;&#1072;&#1089;&#1089;\&#1056;&#1050;&#1054;\&#1041;-508.pdf" TargetMode="External"/><Relationship Id="rId193" Type="http://schemas.openxmlformats.org/officeDocument/2006/relationships/hyperlink" Target="file:///C:\Users\potapoval\Downloads\&#1050;&#1083;&#1072;&#1089;&#1089;\&#1056;&#1052;&#1056;&#1057;%20&#1089;%20&#1040;&#1054;\&#1059;&#1075;&#1083;&#1080;&#1095;.pdf" TargetMode="External"/><Relationship Id="rId202" Type="http://schemas.openxmlformats.org/officeDocument/2006/relationships/hyperlink" Target="file:///C:\Users\potapoval\Downloads\&#1050;&#1083;&#1072;&#1089;&#1089;\&#1056;&#1050;&#1054;\&#1055;&#1050;-508.pdf" TargetMode="External"/><Relationship Id="rId207" Type="http://schemas.openxmlformats.org/officeDocument/2006/relationships/hyperlink" Target="file:///C:\Users\potapoval\Downloads\&#1050;&#1083;&#1072;&#1089;&#1089;\&#1056;&#1050;&#1054;\&#1050;&#1055;&#1051;%2016-10.pdf" TargetMode="External"/><Relationship Id="rId223" Type="http://schemas.openxmlformats.org/officeDocument/2006/relationships/hyperlink" Target="file:///C:\Users\potapoval\Downloads\&#1050;&#1083;&#1072;&#1089;&#1089;\&#1056;&#1050;&#1054;\&#1055;&#1050;-1202.pdf" TargetMode="External"/><Relationship Id="rId228" Type="http://schemas.openxmlformats.org/officeDocument/2006/relationships/hyperlink" Target="file:///C:\Users\potapoval\Downloads\&#1050;&#1083;&#1072;&#1089;&#1089;\&#1056;&#1052;&#1056;&#1057;%20&#1089;%20&#1040;&#1054;\&#1057;&#1074;&#1077;&#1090;&#1083;&#1086;&#1084;&#1086;&#1088;-3.pdf" TargetMode="External"/><Relationship Id="rId244" Type="http://schemas.openxmlformats.org/officeDocument/2006/relationships/hyperlink" Target="file:///C:\Users\potapoval\Downloads\&#1050;&#1083;&#1072;&#1089;&#1089;\&#1056;&#1052;&#1056;&#1057;%20&#1089;%20&#1040;&#1054;\&#1041;&#1077;&#1081;&#1089;&#1091;&#1075;.pdf" TargetMode="External"/><Relationship Id="rId249" Type="http://schemas.openxmlformats.org/officeDocument/2006/relationships/hyperlink" Target="file:///C:\Users\potapoval\Downloads\&#1050;&#1083;&#1072;&#1089;&#1089;\&#1056;&#1052;&#1056;&#1057;%20&#1089;%20&#1040;&#1054;\&#1057;&#1077;&#1081;&#1074;&#1072;&#1083;.pdf" TargetMode="External"/><Relationship Id="rId13" Type="http://schemas.openxmlformats.org/officeDocument/2006/relationships/hyperlink" Target="file:///C:\Users\potapoval\Downloads\&#1050;&#1083;&#1072;&#1089;&#1089;\&#1056;&#1052;&#1056;&#1057;%20&#1089;%20&#1040;&#1054;\&#1059;&#1056;&#1040;-4.pdf" TargetMode="External"/><Relationship Id="rId18" Type="http://schemas.openxmlformats.org/officeDocument/2006/relationships/hyperlink" Target="file:///C:\Users\potapoval\Downloads\&#1050;&#1083;&#1072;&#1089;&#1089;\&#1056;&#1052;&#1056;&#1057;%20&#1089;%20&#1040;&#1054;\&#1057;&#1087;&#1086;&#1088;&#1090;&#1080;&#1089;%20&#1057;&#1041;.pdf" TargetMode="External"/><Relationship Id="rId39" Type="http://schemas.openxmlformats.org/officeDocument/2006/relationships/hyperlink" Target="file:///C:\Users\potapoval\Downloads\&#1050;&#1083;&#1072;&#1089;&#1089;\&#1056;&#1050;&#1054;\&#1055;&#1056;&#1055;-20%20&#8470;40.pdf" TargetMode="External"/><Relationship Id="rId109" Type="http://schemas.openxmlformats.org/officeDocument/2006/relationships/hyperlink" Target="file:///C:\Users\potapoval\Downloads\&#1050;&#1083;&#1072;&#1089;&#1089;\&#1056;&#1050;&#1054;\&#1041;-706%20&#1057;&#1041;.pdf" TargetMode="External"/><Relationship Id="rId34" Type="http://schemas.openxmlformats.org/officeDocument/2006/relationships/hyperlink" Target="file:///C:\Users\potapoval\Downloads\&#1050;&#1083;&#1072;&#1089;&#1089;\&#1056;&#1052;&#1056;&#1057;%20&#1089;%20&#1040;&#1054;\&#1056;&#1057;&#1071;%2005-42%20&#1057;&#1041;.PDF" TargetMode="External"/><Relationship Id="rId50" Type="http://schemas.openxmlformats.org/officeDocument/2006/relationships/hyperlink" Target="file:///C:\Users\potapoval\Downloads\&#1050;&#1083;&#1072;&#1089;&#1089;\&#1043;&#1048;&#1052;&#1057;\&#1053;&#1077;&#1084;&#1072;&#1085;-2%20&#1057;&#1041;.pdf" TargetMode="External"/><Relationship Id="rId55" Type="http://schemas.openxmlformats.org/officeDocument/2006/relationships/hyperlink" Target="file:///C:\Users\potapoval\Downloads\&#1050;&#1083;&#1072;&#1089;&#1089;\&#1056;&#1052;&#1056;&#1057;%20&#1089;%20&#1040;&#1054;\&#1052;&#1054;&#1041;-20%20&#1057;&#1041;.pdf" TargetMode="External"/><Relationship Id="rId76" Type="http://schemas.openxmlformats.org/officeDocument/2006/relationships/hyperlink" Target="file:///C:\Users\potapoval\Downloads\&#1050;&#1083;&#1072;&#1089;&#1089;\&#1056;&#1050;&#1054;\&#1041;-407%20&#1057;&#1041;.pdf" TargetMode="External"/><Relationship Id="rId97" Type="http://schemas.openxmlformats.org/officeDocument/2006/relationships/hyperlink" Target="file:///C:\Users\potapoval\Downloads\&#1050;&#1083;&#1072;&#1089;&#1089;\&#1043;&#1048;&#1052;&#1057;\&#1056;&#1052;&#1057;%2009-30.pdf" TargetMode="External"/><Relationship Id="rId104" Type="http://schemas.openxmlformats.org/officeDocument/2006/relationships/hyperlink" Target="file:///C:\Users\potapoval\Downloads\&#1050;&#1083;&#1072;&#1089;&#1089;\&#1056;&#1052;&#1056;&#1057;%20&#1089;%20&#1040;&#1054;\&#1042;&#1086;&#1076;&#1086;&#1083;&#1072;&#1079;-32.pdf" TargetMode="External"/><Relationship Id="rId120" Type="http://schemas.openxmlformats.org/officeDocument/2006/relationships/hyperlink" Target="file:///C:\Users\potapoval\Downloads\&#1050;&#1083;&#1072;&#1089;&#1089;\&#1056;&#1052;&#1056;&#1057;%20&#1089;%20&#1040;&#1054;\&#1052;&#1072;&#1088;&#1082;&#1072;&#1073;.pdf" TargetMode="External"/><Relationship Id="rId125" Type="http://schemas.openxmlformats.org/officeDocument/2006/relationships/hyperlink" Target="file:///C:\Users\potapoval\Downloads\&#1050;&#1083;&#1072;&#1089;&#1089;\&#1056;&#1052;&#1056;&#1057;%20&#1089;%20&#1040;&#1054;\&#1040;&#1057;&#1055;&#1058;&#1056;-5.pdf" TargetMode="External"/><Relationship Id="rId141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41;&#1072;&#1083;&#1072;&#1096;&#1086;&#1074;.pdf" TargetMode="External"/><Relationship Id="rId146" Type="http://schemas.openxmlformats.org/officeDocument/2006/relationships/hyperlink" Target="file:///C:\Users\potapoval\Downloads\&#1050;&#1083;&#1072;&#1089;&#1089;\&#1056;&#1052;&#1056;&#1057;%20&#1089;%20&#1040;&#1054;\&#1055;&#1086;&#1088;&#1090;&#1086;&#1074;&#1099;&#1081;-1.pdf" TargetMode="External"/><Relationship Id="rId167" Type="http://schemas.openxmlformats.org/officeDocument/2006/relationships/hyperlink" Target="file:///C:\Users\potapoval\Downloads\&#1050;&#1083;&#1072;&#1089;&#1089;\&#1056;&#1050;&#1054;\&#1041;-507.pdf" TargetMode="External"/><Relationship Id="rId188" Type="http://schemas.openxmlformats.org/officeDocument/2006/relationships/hyperlink" Target="file:///C:\Users\potapoval\Downloads\&#1050;&#1083;&#1072;&#1089;&#1089;\&#1056;&#1050;&#1054;\&#1055;&#1050;-108.pdf" TargetMode="External"/><Relationship Id="rId7" Type="http://schemas.openxmlformats.org/officeDocument/2006/relationships/hyperlink" Target="file:///C:\Users\potapoval\Downloads\&#1050;&#1083;&#1072;&#1089;&#1089;\&#1056;&#1052;&#1056;&#1057;%20&#1089;%20&#1040;&#1054;\&#1061;&#1072;&#1081;&#1090;&#1077;&#1082;-75-2%20&#1057;&#1041;.pdf" TargetMode="External"/><Relationship Id="rId71" Type="http://schemas.openxmlformats.org/officeDocument/2006/relationships/hyperlink" Target="file:///C:\Users\potapoval\Downloads\&#1050;&#1083;&#1072;&#1089;&#1089;\&#1043;&#1048;&#1052;&#1057;\&#1041;&#1091;&#1088;&#1077;&#1074;&#1077;&#1089;&#1090;&#1085;&#1080;&#1082;%20430%20&#1057;&#1041;.pdf" TargetMode="External"/><Relationship Id="rId92" Type="http://schemas.openxmlformats.org/officeDocument/2006/relationships/hyperlink" Target="file:///C:\Users\potapoval\Downloads\&#1050;&#1083;&#1072;&#1089;&#1089;\&#1056;&#1052;&#1056;&#1057;%20&#1089;%20&#1040;&#1054;\&#1040;&#1076;&#1084;&#1080;&#1088;&#1072;&#1083;-2%20&#1057;&#1041;.pdf" TargetMode="External"/><Relationship Id="rId162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1;&#1080;&#1090;&#1074;&#1080;&#1085;.pdf" TargetMode="External"/><Relationship Id="rId183" Type="http://schemas.openxmlformats.org/officeDocument/2006/relationships/hyperlink" Target="file:///C:\Users\potapoval\Downloads\&#1050;&#1083;&#1072;&#1089;&#1089;\&#1056;&#1050;&#1054;\&#1059;&#1088;&#1072;&#1083;-33.pdf" TargetMode="External"/><Relationship Id="rId213" Type="http://schemas.openxmlformats.org/officeDocument/2006/relationships/hyperlink" Target="file:///C:\Users\potapoval\Downloads\&#1050;&#1083;&#1072;&#1089;&#1089;\&#1056;&#1050;&#1054;\&#1055;&#1050;-307.pdf" TargetMode="External"/><Relationship Id="rId218" Type="http://schemas.openxmlformats.org/officeDocument/2006/relationships/hyperlink" Target="file:///C:\Users\potapoval\Downloads\&#1050;&#1083;&#1072;&#1089;&#1089;\&#1056;&#1052;&#1056;&#1057;%20&#1089;%20&#1040;&#1054;\&#1042;&#1080;&#1082;&#1090;&#1086;&#1088;%20&#1041;&#1091;&#1081;&#1085;&#1080;&#1094;&#1082;&#1080;&#1081;.pdf" TargetMode="External"/><Relationship Id="rId234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48;&#1083;&#1100;&#1080;&#1085;.pdf" TargetMode="External"/><Relationship Id="rId239" Type="http://schemas.openxmlformats.org/officeDocument/2006/relationships/hyperlink" Target="file:///C:\Users\potapoval\Downloads\&#1050;&#1083;&#1072;&#1089;&#1089;\&#1056;&#1052;&#1056;&#1057;%20&#1089;%20&#1040;&#1054;\&#1050;&#1072;&#1087;&#1080;&#1090;&#1072;&#1085;%20&#1052;&#1072;&#1088;&#1090;&#1099;&#1096;&#1082;&#1080;&#1085;.pdf" TargetMode="External"/><Relationship Id="rId2" Type="http://schemas.openxmlformats.org/officeDocument/2006/relationships/hyperlink" Target="file:///C:\Users\potapoval\Downloads\&#1050;&#1083;&#1072;&#1089;&#1089;\&#1056;&#1052;&#1056;&#1057;%20&#1089;%20&#1040;&#1054;\&#1069;&#1050;&#1054;-2&#1052;&#1057;%20&#1057;&#1041;.pdf" TargetMode="External"/><Relationship Id="rId29" Type="http://schemas.openxmlformats.org/officeDocument/2006/relationships/hyperlink" Target="file:///C:\Users\potapoval\Downloads\&#1050;&#1083;&#1072;&#1089;&#1089;\&#1043;&#1048;&#1052;&#1057;\&#1060;&#1086;&#1088;&#1074;&#1072;&#1088;&#1076;%20420%20&#1057;&#1041;.pdf" TargetMode="External"/><Relationship Id="rId250" Type="http://schemas.openxmlformats.org/officeDocument/2006/relationships/hyperlink" Target="file:///C:\Users\potapoval\Downloads\&#1050;&#1083;&#1072;&#1089;&#1089;\&#1056;&#1052;&#1056;&#1057;%20&#1089;%20&#1040;&#1054;\&#1041;&#1072;&#1083;&#1090;&#1080;&#1082;&#1072;.pdf" TargetMode="External"/><Relationship Id="rId255" Type="http://schemas.openxmlformats.org/officeDocument/2006/relationships/hyperlink" Target="file:///C:\Users\potapoval\Downloads\&#1050;&#1083;&#1072;&#1089;&#1089;\&#1056;&#1052;&#1056;&#1057;%20&#1089;%20&#1040;&#1054;\&#1052;&#1091;&#1088;&#1084;&#1072;&#1085;.pdf" TargetMode="External"/><Relationship Id="rId24" Type="http://schemas.openxmlformats.org/officeDocument/2006/relationships/hyperlink" Target="file:///C:\Users\potapoval\Downloads\&#1050;&#1083;&#1072;&#1089;&#1089;\&#1056;&#1052;&#1056;&#1057;%20&#1089;%20&#1040;&#1054;\&#1057;&#1087;&#1072;&#1088;&#1090;&#1072;&#1082;%20&#1057;&#1041;.pdf" TargetMode="External"/><Relationship Id="rId40" Type="http://schemas.openxmlformats.org/officeDocument/2006/relationships/hyperlink" Target="file:///C:\Users\potapoval\Downloads\&#1050;&#1083;&#1072;&#1089;&#1089;\&#1043;&#1048;&#1052;&#1057;\&#1055;&#1088;&#1086;&#1075;&#1088;&#1077;&#1089;&#1089;-2%20&#1057;&#1041;.pdf" TargetMode="External"/><Relationship Id="rId45" Type="http://schemas.openxmlformats.org/officeDocument/2006/relationships/hyperlink" Target="file:///C:\Users\potapoval\Downloads\&#1050;&#1083;&#1072;&#1089;&#1089;\&#1043;&#1048;&#1052;&#1057;\&#1054;&#1085;&#1077;&#1075;&#1072;%20&#1057;&#1041;.pdf" TargetMode="External"/><Relationship Id="rId66" Type="http://schemas.openxmlformats.org/officeDocument/2006/relationships/hyperlink" Target="file:///C:\Users\potapoval\Downloads\&#1050;&#1083;&#1072;&#1089;&#1089;\&#1056;&#1052;&#1056;&#1057;%20&#1089;%20&#1040;&#1054;\&#1050;&#1072;&#1088;&#1072;&#1090;-3%20&#1057;&#1041;.pdf" TargetMode="External"/><Relationship Id="rId87" Type="http://schemas.openxmlformats.org/officeDocument/2006/relationships/hyperlink" Target="file:///C:\Users\potapoval\Downloads\&#1050;&#1083;&#1072;&#1089;&#1089;\&#1056;&#1052;&#1056;&#1057;%20&#1089;%20&#1040;&#1054;\&#1040;&#1082;&#1074;&#1072;&#1084;&#1072;&#1088;&#1072;&#1085;-3%20&#1057;&#1041;.pdf" TargetMode="External"/><Relationship Id="rId110" Type="http://schemas.openxmlformats.org/officeDocument/2006/relationships/hyperlink" Target="file:///C:\Users\potapoval\Downloads\&#1050;&#1083;&#1072;&#1089;&#1089;\&#1056;&#1050;&#1054;\&#1041;-123%20&#1057;&#1041;.pdf" TargetMode="External"/><Relationship Id="rId115" Type="http://schemas.openxmlformats.org/officeDocument/2006/relationships/hyperlink" Target="file:///C:\Users\potapoval\Downloads\&#1050;&#1083;&#1072;&#1089;&#1089;\&#1056;&#1052;&#1056;&#1057;%20&#1089;%20&#1040;&#1054;\&#1042;&#1086;&#1083;&#1085;&#1072;.pdf" TargetMode="External"/><Relationship Id="rId131" Type="http://schemas.openxmlformats.org/officeDocument/2006/relationships/hyperlink" Target="file:///C:\Users\potapoval\Downloads\&#1050;&#1083;&#1072;&#1089;&#1089;\&#1056;&#1052;&#1056;&#1057;%20&#1089;%20&#1040;&#1054;\&#1040;&#1085;&#1072;&#1090;&#1086;&#1083;&#1080;&#1081;%20&#1058;&#1082;&#1072;&#1095;&#1077;&#1074;.pdf" TargetMode="External"/><Relationship Id="rId136" Type="http://schemas.openxmlformats.org/officeDocument/2006/relationships/hyperlink" Target="file:///C:\Users\potapoval\Downloads\&#1050;&#1083;&#1072;&#1089;&#1089;\&#1056;&#1052;&#1056;&#1057;%20&#1089;%20&#1040;&#1054;\&#1053;&#1080;&#1082;&#1086;&#1083;&#1072;&#1081;%20&#1041;&#1091;&#1088;&#1082;&#1086;&#1074;.pdf" TargetMode="External"/><Relationship Id="rId157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63;&#1077;&#1073;&#1072;&#1085;&#1077;&#1085;&#1082;&#1086;.pdf" TargetMode="External"/><Relationship Id="rId178" Type="http://schemas.openxmlformats.org/officeDocument/2006/relationships/hyperlink" Target="file:///C:\Users\potapoval\Downloads\&#1050;&#1083;&#1072;&#1089;&#1089;\&#1056;&#1052;&#1056;&#1057;%20&#1089;%20&#1040;&#1054;\&#1053;&#1080;&#1082;&#1086;&#1083;&#1072;&#1081;%20&#1057;&#1077;&#1084;&#1077;&#1085;&#1095;&#1077;&#1085;&#1082;&#1086;.pdf" TargetMode="External"/><Relationship Id="rId61" Type="http://schemas.openxmlformats.org/officeDocument/2006/relationships/hyperlink" Target="file:///C:\Users\potapoval\Downloads\&#1050;&#1083;&#1072;&#1089;&#1089;\&#1056;&#1052;&#1056;&#1057;%20&#1089;%20&#1040;&#1054;\&#1050;&#1086;&#1088;&#1089;&#1072;&#1088;%20&#1057;&#1041;.pdf" TargetMode="External"/><Relationship Id="rId82" Type="http://schemas.openxmlformats.org/officeDocument/2006/relationships/hyperlink" Target="file:///C:\Users\potapoval\Downloads\&#1050;&#1083;&#1072;&#1089;&#1089;\&#1043;&#1048;&#1052;&#1057;\&#1040;&#1084;&#1091;&#1088;-2%20&#1056;&#1040;&#1060;%2018-96%20&#1057;&#1041;.pdf" TargetMode="External"/><Relationship Id="rId152" Type="http://schemas.openxmlformats.org/officeDocument/2006/relationships/hyperlink" Target="file:///C:\Users\potapoval\Downloads\&#1050;&#1083;&#1072;&#1089;&#1089;\&#1056;&#1050;&#1054;\&#1050;&#1086;&#1083;&#1086;&#1085;&#1086;&#1082;-99.pdf" TargetMode="External"/><Relationship Id="rId173" Type="http://schemas.openxmlformats.org/officeDocument/2006/relationships/hyperlink" Target="file:///C:\Users\potapoval\Downloads\&#1050;&#1083;&#1072;&#1089;&#1089;\&#1056;&#1050;&#1054;\&#1041;&#1056;-203.pdf" TargetMode="External"/><Relationship Id="rId194" Type="http://schemas.openxmlformats.org/officeDocument/2006/relationships/hyperlink" Target="file:///C:\Users\potapoval\Downloads\&#1050;&#1083;&#1072;&#1089;&#1089;\&#1056;&#1052;&#1056;&#1057;%20&#1089;%20&#1040;&#1054;\&#1057;&#1090;&#1086;&#1083;&#1100;&#1085;&#1099;&#1081;%20&#1043;&#1088;&#1072;&#1076;%20&#1071;&#1088;&#1086;&#1089;&#1083;&#1072;&#1074;&#1083;&#1100;.pdf" TargetMode="External"/><Relationship Id="rId199" Type="http://schemas.openxmlformats.org/officeDocument/2006/relationships/hyperlink" Target="file:///C:\Users\potapoval\Downloads\&#1050;&#1083;&#1072;&#1089;&#1089;\&#1056;&#1050;&#1054;\&#1041;&#1057;-717.pdf" TargetMode="External"/><Relationship Id="rId203" Type="http://schemas.openxmlformats.org/officeDocument/2006/relationships/hyperlink" Target="file:///C:\Users\potapoval\Downloads\&#1050;&#1083;&#1072;&#1089;&#1089;\&#1056;&#1050;&#1054;\&#1055;&#1050;-407.PDF" TargetMode="External"/><Relationship Id="rId208" Type="http://schemas.openxmlformats.org/officeDocument/2006/relationships/hyperlink" Target="file:///C:\Users\potapoval\Downloads\&#1050;&#1083;&#1072;&#1089;&#1089;\&#1056;&#1052;&#1056;&#1057;%20&#1089;%20&#1040;&#1054;\&#1052;&#1077;&#1088;&#1082;&#1091;&#1088;&#1080;&#1081;.pdf" TargetMode="External"/><Relationship Id="rId229" Type="http://schemas.openxmlformats.org/officeDocument/2006/relationships/hyperlink" Target="file:///C:\Users\potapoval\Downloads\&#1050;&#1083;&#1072;&#1089;&#1089;\&#1056;&#1050;&#1054;\&#1041;&#1055;&#1041;-001.pdf" TargetMode="External"/><Relationship Id="rId19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-5%20&#1057;&#1072;&#1093;.pdf" TargetMode="External"/><Relationship Id="rId224" Type="http://schemas.openxmlformats.org/officeDocument/2006/relationships/hyperlink" Target="file:///C:\Users\potapoval\Downloads\&#1050;&#1083;&#1072;&#1089;&#1089;\&#1056;&#1050;&#1054;\&#1055;&#1050;-714.PDF" TargetMode="External"/><Relationship Id="rId240" Type="http://schemas.openxmlformats.org/officeDocument/2006/relationships/hyperlink" Target="file:///C:\Users\potapoval\Downloads\&#1050;&#1083;&#1072;&#1089;&#1089;\&#1056;&#1052;&#1056;&#1057;%20&#1089;%20&#1040;&#1054;\&#1071;&#1089;&#1085;&#1099;&#1081;.pdf" TargetMode="External"/><Relationship Id="rId245" Type="http://schemas.openxmlformats.org/officeDocument/2006/relationships/hyperlink" Target="file:///C:\Users\potapoval\Downloads\&#1050;&#1083;&#1072;&#1089;&#1089;\&#1056;&#1052;&#1056;&#1057;%20&#1089;%20&#1040;&#1054;\&#1041;&#1072;&#1093;&#1090;&#1077;&#1084;&#1080;&#1088;.pdf" TargetMode="External"/><Relationship Id="rId14" Type="http://schemas.openxmlformats.org/officeDocument/2006/relationships/hyperlink" Target="file:///C:\Users\potapoval\Downloads\&#1050;&#1083;&#1072;&#1089;&#1089;\&#1056;&#1052;&#1056;&#1057;%20&#1089;%20&#1040;&#1054;\&#1059;&#1056;&#1040;-3%20&#1057;&#1041;.pdf" TargetMode="External"/><Relationship Id="rId30" Type="http://schemas.openxmlformats.org/officeDocument/2006/relationships/hyperlink" Target="file:///C:\Users\potapoval\Downloads\&#1050;&#1083;&#1072;&#1089;&#1089;\&#1043;&#1048;&#1052;&#1057;\&#1056;&#1057;&#1071;%2007-53%20Lamor%207500.pdf" TargetMode="External"/><Relationship Id="rId35" Type="http://schemas.openxmlformats.org/officeDocument/2006/relationships/hyperlink" Target="file:///C:\Users\potapoval\Downloads\&#1050;&#1083;&#1072;&#1089;&#1089;\&#1056;&#1052;&#1056;&#1057;%20&#1089;%20&#1040;&#1054;\&#1056;&#1050;-700-3%20&#1057;&#1041;.pdf" TargetMode="External"/><Relationship Id="rId56" Type="http://schemas.openxmlformats.org/officeDocument/2006/relationships/hyperlink" Target="file:///C:\Users\potapoval\Downloads\&#1050;&#1083;&#1072;&#1089;&#1089;\&#1043;&#1048;&#1052;&#1057;\&#1052;&#1077;&#1079;&#1077;&#1085;&#1100;%20&#1057;&#1041;.pdf" TargetMode="External"/><Relationship Id="rId77" Type="http://schemas.openxmlformats.org/officeDocument/2006/relationships/hyperlink" Target="file:///C:\Users\potapoval\Downloads\&#1050;&#1083;&#1072;&#1089;&#1089;\&#1056;&#1050;&#1054;\&#1040;&#1057;&#1055;&#1058;&#1056;-7%20&#1057;&#1041;.pdf" TargetMode="External"/><Relationship Id="rId100" Type="http://schemas.openxmlformats.org/officeDocument/2006/relationships/hyperlink" Target="file:///C:\Users\potapoval\Downloads\&#1050;&#1083;&#1072;&#1089;&#1089;\&#1043;&#1048;&#1052;&#1057;\&#1040;&#1044;&#1052;&#1048;&#1056;&#1040;&#1051;%20ADM-610-2.pdf" TargetMode="External"/><Relationship Id="rId105" Type="http://schemas.openxmlformats.org/officeDocument/2006/relationships/hyperlink" Target="file:///C:\Users\potapoval\Downloads\&#1050;&#1083;&#1072;&#1089;&#1089;\&#1056;&#1052;&#1056;&#1057;%20&#1089;%20&#1040;&#1054;\&#1042;&#1086;&#1076;&#1086;&#1083;&#1072;&#1079;-31.pdf" TargetMode="External"/><Relationship Id="rId126" Type="http://schemas.openxmlformats.org/officeDocument/2006/relationships/hyperlink" Target="file:///C:\Users\potapoval\Downloads\&#1050;&#1083;&#1072;&#1089;&#1089;\&#1043;&#1048;&#1052;&#1057;\&#1050;&#1072;&#1081;&#1084;&#1072;&#1085;-2%20&#1057;&#1091;&#1076;&#1086;&#1074;&#1086;&#1081;%20&#1073;&#1080;&#1083;&#1077;&#1090;.pdf" TargetMode="External"/><Relationship Id="rId147" Type="http://schemas.openxmlformats.org/officeDocument/2006/relationships/hyperlink" Target="file:///C:\Users\potapoval\Downloads\&#1050;&#1083;&#1072;&#1089;&#1089;\&#1056;&#1052;&#1056;&#1057;%20&#1089;%20&#1040;&#1054;\&#1047;&#1077;&#1085;&#1080;&#1090;.pdf" TargetMode="External"/><Relationship Id="rId168" Type="http://schemas.openxmlformats.org/officeDocument/2006/relationships/hyperlink" Target="file:///C:\Users\potapoval\Downloads\&#1050;&#1083;&#1072;&#1089;&#1089;\&#1056;&#1050;&#1054;\&#1041;-505.pdf" TargetMode="External"/><Relationship Id="rId8" Type="http://schemas.openxmlformats.org/officeDocument/2006/relationships/hyperlink" Target="file:///C:\Users\potapoval\Downloads\&#1050;&#1083;&#1072;&#1089;&#1089;\&#1056;&#1052;&#1056;&#1057;%20&#1089;%20&#1040;&#1054;\&#1061;&#1072;&#1081;&#1090;&#1077;&#1082;-75-1%20&#1057;&#1041;.pdf" TargetMode="External"/><Relationship Id="rId51" Type="http://schemas.openxmlformats.org/officeDocument/2006/relationships/hyperlink" Target="file:///C:\Users\potapoval\Downloads\&#1050;&#1083;&#1072;&#1089;&#1089;\&#1056;&#1052;&#1056;&#1057;%20&#1089;%20&#1040;&#1054;\&#1052;&#1057;&#1057;-04.pdf" TargetMode="External"/><Relationship Id="rId72" Type="http://schemas.openxmlformats.org/officeDocument/2006/relationships/hyperlink" Target="file:///C:\Users\potapoval\Downloads\&#1050;&#1083;&#1072;&#1089;&#1089;\&#1056;&#1050;&#1054;\&#1041;&#1058;-566%20&#1057;&#1041;.pdf" TargetMode="External"/><Relationship Id="rId93" Type="http://schemas.openxmlformats.org/officeDocument/2006/relationships/hyperlink" Target="file:///C:\Users\potapoval\Downloads\&#1050;&#1083;&#1072;&#1089;&#1089;\&#1056;&#1052;&#1056;&#1057;%20&#1089;%20&#1040;&#1054;\&#1040;&#1076;&#1084;&#1080;&#1088;&#1072;&#1083;-1%20&#1057;&#1041;.pdf" TargetMode="External"/><Relationship Id="rId98" Type="http://schemas.openxmlformats.org/officeDocument/2006/relationships/hyperlink" Target="file:///C:\Users\potapoval\Downloads\&#1050;&#1083;&#1072;&#1089;&#1089;\&#1056;&#1052;&#1056;&#1057;%20&#1089;%20&#1040;&#1054;\&#1056;&#1050;-700-1%20&#1057;&#1041;.pdf" TargetMode="External"/><Relationship Id="rId121" Type="http://schemas.openxmlformats.org/officeDocument/2006/relationships/hyperlink" Target="file:///C:\Users\potapoval\Downloads\&#1050;&#1083;&#1072;&#1089;&#1089;\&#1043;&#1048;&#1052;&#1057;\&#1052;&#1072;&#1089;&#1090;&#1077;&#1088;%20&#1057;&#1041;.pdf" TargetMode="External"/><Relationship Id="rId142" Type="http://schemas.openxmlformats.org/officeDocument/2006/relationships/hyperlink" Target="file:///C:\Users\potapoval\Downloads\&#1050;&#1083;&#1072;&#1089;&#1089;\&#1056;&#1052;&#1056;&#1057;%20&#1089;%20&#1040;&#1054;\&#1040;&#1083;&#1077;&#1082;&#1089;&#1072;&#1085;&#1076;&#1088;%20&#1057;&#1080;&#1079;&#1086;&#1085;&#1094;&#1077;&#1074;.pdf" TargetMode="External"/><Relationship Id="rId163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47;&#1102;&#1083;&#1103;&#1077;&#1074;.pdf" TargetMode="External"/><Relationship Id="rId184" Type="http://schemas.openxmlformats.org/officeDocument/2006/relationships/hyperlink" Target="file:///C:\Users\potapoval\Downloads\&#1050;&#1083;&#1072;&#1089;&#1089;\&#1056;&#1052;&#1056;&#1057;%20&#1089;%20&#1040;&#1054;\&#1056;&#1091;&#1073;&#1080;.pdf" TargetMode="External"/><Relationship Id="rId189" Type="http://schemas.openxmlformats.org/officeDocument/2006/relationships/hyperlink" Target="file:///C:\Users\potapoval\Downloads\&#1050;&#1083;&#1072;&#1089;&#1089;\&#1056;&#1052;&#1056;&#1057;%20&#1089;%20&#1040;&#1054;\&#1063;&#1072;&#1089;&#1086;&#1074;&#1086;&#1081;.pdf" TargetMode="External"/><Relationship Id="rId219" Type="http://schemas.openxmlformats.org/officeDocument/2006/relationships/hyperlink" Target="file:///C:\Users\potapoval\Downloads\&#1050;&#1083;&#1072;&#1089;&#1089;\&#1056;&#1052;&#1056;&#1057;%20&#1089;%20&#1040;&#1054;\&#1048;&#1075;&#1086;&#1088;&#1100;%20&#1048;&#1083;&#1100;&#1080;&#1085;.pdf" TargetMode="External"/><Relationship Id="rId3" Type="http://schemas.openxmlformats.org/officeDocument/2006/relationships/hyperlink" Target="file:///C:\Users\potapoval\Downloads\&#1050;&#1083;&#1072;&#1089;&#1089;\&#1043;&#1048;&#1052;&#1057;\&#1069;&#1082;&#1086;-1.pdf" TargetMode="External"/><Relationship Id="rId214" Type="http://schemas.openxmlformats.org/officeDocument/2006/relationships/hyperlink" Target="file:///C:\Users\potapoval\Downloads\&#1050;&#1083;&#1072;&#1089;&#1089;\&#1056;&#1050;&#1054;\&#1055;&#1050;-205.pdf" TargetMode="External"/><Relationship Id="rId230" Type="http://schemas.openxmlformats.org/officeDocument/2006/relationships/hyperlink" Target="file:///C:\Users\potapoval\Downloads\&#1050;&#1083;&#1072;&#1089;&#1089;\&#1056;&#1052;&#1056;&#1057;%20&#1089;%20&#1040;&#1054;\&#1041;&#1072;&#1083;&#1090;&#1080;&#1081;&#1089;&#1082;&#1080;&#1081;%20&#1048;&#1089;&#1089;&#1083;&#1077;&#1076;&#1086;&#1074;&#1072;&#1090;&#1077;&#1083;&#1100;.pdf" TargetMode="External"/><Relationship Id="rId235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47;&#1072;&#1073;&#1086;&#1088;&#1097;&#1080;&#1082;&#1086;&#1074;.pdf" TargetMode="External"/><Relationship Id="rId251" Type="http://schemas.openxmlformats.org/officeDocument/2006/relationships/hyperlink" Target="file:///C:\Users\potapoval\Downloads\&#1050;&#1083;&#1072;&#1089;&#1089;\&#1056;&#1052;&#1056;&#1057;%20&#1089;%20&#1040;&#1054;\&#1060;&#1080;&#1085;&#1074;&#1072;&#1083;.pdf" TargetMode="External"/><Relationship Id="rId25" Type="http://schemas.openxmlformats.org/officeDocument/2006/relationships/hyperlink" Target="file:///C:\Users\potapoval\Downloads\&#1050;&#1083;&#1072;&#1089;&#1089;\&#1056;&#1052;&#1056;&#1057;%20&#1089;%20&#1040;&#1054;\&#1057;&#1082;&#1072;&#1090;%20&#1057;&#1041;.pdf" TargetMode="External"/><Relationship Id="rId46" Type="http://schemas.openxmlformats.org/officeDocument/2006/relationships/hyperlink" Target="file:///C:\Users\potapoval\Downloads\&#1050;&#1083;&#1072;&#1089;&#1089;\&#1056;&#1052;&#1056;&#1057;%20&#1089;%20&#1040;&#1054;\&#1053;&#1052;&#1057;-&#1050;%20&#1057;&#1041;.pdf" TargetMode="External"/><Relationship Id="rId67" Type="http://schemas.openxmlformats.org/officeDocument/2006/relationships/hyperlink" Target="file:///C:\Users\potapoval\Downloads\&#1050;&#1083;&#1072;&#1089;&#1089;\&#1056;&#1052;&#1056;&#1057;%20&#1089;%20&#1040;&#1054;\&#1050;&#1040;&#1056;&#1040;&#1058;-2%20&#1057;&#1041;.pdf" TargetMode="External"/><Relationship Id="rId116" Type="http://schemas.openxmlformats.org/officeDocument/2006/relationships/hyperlink" Target="file:///C:\Users\potapoval\Downloads\&#1050;&#1083;&#1072;&#1089;&#1089;\&#1056;&#1050;&#1054;\&#1041;-245%20&#1057;&#1041;.pdf" TargetMode="External"/><Relationship Id="rId137" Type="http://schemas.openxmlformats.org/officeDocument/2006/relationships/hyperlink" Target="file:///C:\Users\potapoval\Downloads\&#1050;&#1083;&#1072;&#1089;&#1089;\&#1056;&#1052;&#1056;&#1057;%20&#1089;%20&#1040;&#1054;\&#1052;&#1072;&#1082;&#1089;&#1080;&#1084;%20&#1050;&#1086;&#1083;&#1086;&#1089;&#1086;&#1074;.pdf" TargetMode="External"/><Relationship Id="rId158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57;&#1090;&#1072;&#1096;&#1082;&#1086;&#1074;.pdf" TargetMode="External"/><Relationship Id="rId20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-4%20&#1057;&#1072;&#1093;.pdf" TargetMode="External"/><Relationship Id="rId41" Type="http://schemas.openxmlformats.org/officeDocument/2006/relationships/hyperlink" Target="file:///C:\Users\potapoval\Downloads\&#1050;&#1083;&#1072;&#1089;&#1089;\&#1056;&#1050;&#1054;\&#1055;&#1050;-313.pdf" TargetMode="External"/><Relationship Id="rId62" Type="http://schemas.openxmlformats.org/officeDocument/2006/relationships/hyperlink" Target="file:///C:\Users\potapoval\Downloads\&#1050;&#1083;&#1072;&#1089;&#1089;\&#1056;&#1052;&#1056;&#1057;%20&#1089;%20&#1040;&#1054;\&#1050;&#1072;&#1090;&#1088;&#1072;&#1085;%20&#1057;&#1041;.pdf" TargetMode="External"/><Relationship Id="rId83" Type="http://schemas.openxmlformats.org/officeDocument/2006/relationships/hyperlink" Target="file:///C:\Users\potapoval\Downloads\&#1050;&#1083;&#1072;&#1089;&#1089;\&#1056;&#1052;&#1056;&#1057;%20&#1089;%20&#1040;&#1054;\&#1040;&#1083;&#1100;&#1092;&#1072;&#1088;&#1076;%20&#1057;&#1041;.pdf" TargetMode="External"/><Relationship Id="rId88" Type="http://schemas.openxmlformats.org/officeDocument/2006/relationships/hyperlink" Target="file:///C:\Users\potapoval\Downloads\&#1050;&#1083;&#1072;&#1089;&#1089;\&#1056;&#1052;&#1056;&#1057;%20&#1089;%20&#1040;&#1054;\&#1040;&#1082;&#1074;&#1072;&#1084;&#1072;&#1088;&#1072;&#1085;-2%20&#1057;&#1041;%20&#1040;&#1063;&#1060;.pdf" TargetMode="External"/><Relationship Id="rId111" Type="http://schemas.openxmlformats.org/officeDocument/2006/relationships/hyperlink" Target="file:///C:\Users\potapoval\Downloads\&#1050;&#1083;&#1072;&#1089;&#1089;\&#1056;&#1050;&#1054;\&#1042;&#1056;&#1044;-1025.pdf" TargetMode="External"/><Relationship Id="rId132" Type="http://schemas.openxmlformats.org/officeDocument/2006/relationships/hyperlink" Target="file:///C:\Users\potapoval\Downloads\&#1050;&#1083;&#1072;&#1089;&#1089;\&#1056;&#1052;&#1056;&#1057;%20&#1089;%20&#1040;&#1054;\&#1040;&#1085;&#1072;&#1090;&#1086;&#1083;&#1080;&#1081;%20&#1042;&#1077;&#1088;&#1077;&#1090;&#1077;&#1093;&#1080;&#1085;.pdf" TargetMode="External"/><Relationship Id="rId153" Type="http://schemas.openxmlformats.org/officeDocument/2006/relationships/hyperlink" Target="file:///C:\Users\potapoval\Downloads\&#1050;&#1083;&#1072;&#1089;&#1089;\&#1056;&#1050;&#1054;\&#1050;&#1086;&#1083;&#1086;&#1085;&#1086;&#1082;-57.pdf" TargetMode="External"/><Relationship Id="rId174" Type="http://schemas.openxmlformats.org/officeDocument/2006/relationships/hyperlink" Target="file:///C:\Users\potapoval\Downloads\&#1050;&#1083;&#1072;&#1089;&#1089;\&#1056;&#1050;&#1054;\&#1055;&#1083;&#1086;&#1090;&#1086;&#1074;&#1086;&#1076;-685.pdf" TargetMode="External"/><Relationship Id="rId179" Type="http://schemas.openxmlformats.org/officeDocument/2006/relationships/hyperlink" Target="file:///C:\Users\potapoval\Downloads\&#1050;&#1083;&#1072;&#1089;&#1089;\&#1056;&#1050;&#1054;\&#1057;&#1073;&#1086;&#1088;&#1097;&#1080;&#1082;-348.pdf" TargetMode="External"/><Relationship Id="rId195" Type="http://schemas.openxmlformats.org/officeDocument/2006/relationships/hyperlink" Target="file:///C:\Users\potapoval\Downloads\&#1050;&#1083;&#1072;&#1089;&#1089;\&#1056;&#1052;&#1056;&#1057;%20&#1089;%20&#1040;&#1054;\&#1056;&#1099;&#1073;&#1080;&#1085;&#1089;&#1082;.pdf" TargetMode="External"/><Relationship Id="rId209" Type="http://schemas.openxmlformats.org/officeDocument/2006/relationships/hyperlink" Target="file:///C:\Users\potapoval\Downloads\&#1050;&#1083;&#1072;&#1089;&#1089;\&#1056;&#1050;&#1054;\&#1041;&#1057;-513.pdf" TargetMode="External"/><Relationship Id="rId190" Type="http://schemas.openxmlformats.org/officeDocument/2006/relationships/hyperlink" Target="file:///C:\Users\potapoval\Downloads\&#1050;&#1083;&#1072;&#1089;&#1089;\&#1056;&#1050;&#1054;\&#1041;&#1057;-718.PDF" TargetMode="External"/><Relationship Id="rId204" Type="http://schemas.openxmlformats.org/officeDocument/2006/relationships/hyperlink" Target="file:///C:\Users\potapoval\Downloads\&#1050;&#1083;&#1072;&#1089;&#1089;\&#1056;&#1050;&#1054;\&#1055;&#1050;-1204.pdf" TargetMode="External"/><Relationship Id="rId220" Type="http://schemas.openxmlformats.org/officeDocument/2006/relationships/hyperlink" Target="file:///C:\Users\potapoval\Downloads\&#1050;&#1083;&#1072;&#1089;&#1089;\&#1056;&#1052;&#1056;&#1057;%20&#1089;%20&#1040;&#1054;\&#1063;&#1077;&#1088;&#1085;&#1086;&#1084;&#1086;&#1088;&#1077;&#1094;-18.pdf" TargetMode="External"/><Relationship Id="rId225" Type="http://schemas.openxmlformats.org/officeDocument/2006/relationships/hyperlink" Target="file:///C:\Users\potapoval\Downloads\&#1050;&#1083;&#1072;&#1089;&#1089;\&#1056;&#1052;&#1056;&#1057;%20&#1089;%20&#1040;&#1054;\&#1069;&#1087;&#1088;&#1086;&#1085;.pdf" TargetMode="External"/><Relationship Id="rId241" Type="http://schemas.openxmlformats.org/officeDocument/2006/relationships/hyperlink" Target="file:///C:\Users\potapoval\Downloads\&#1050;&#1083;&#1072;&#1089;&#1089;\&#1056;&#1050;&#1054;\&#1052;&#1086;&#1075;&#1091;&#1095;&#1080;&#1081;.pdf" TargetMode="External"/><Relationship Id="rId246" Type="http://schemas.openxmlformats.org/officeDocument/2006/relationships/hyperlink" Target="file:///C:\Users\potapoval\Downloads\&#1050;&#1083;&#1072;&#1089;&#1089;\&#1056;&#1052;&#1056;&#1057;%20&#1089;%20&#1040;&#1054;\&#1057;&#1080;&#1074;&#1091;&#1095;.pdf" TargetMode="External"/><Relationship Id="rId15" Type="http://schemas.openxmlformats.org/officeDocument/2006/relationships/hyperlink" Target="file:///C:\Users\potapoval\Downloads\&#1050;&#1083;&#1072;&#1089;&#1089;\&#1056;&#1052;&#1056;&#1057;%20&#1089;%20&#1040;&#1054;\&#1059;&#1056;&#1040;-2.pdf" TargetMode="External"/><Relationship Id="rId36" Type="http://schemas.openxmlformats.org/officeDocument/2006/relationships/hyperlink" Target="file:///C:\Users\potapoval\Downloads\&#1050;&#1083;&#1072;&#1089;&#1089;\&#1056;&#1052;&#1056;&#1057;%20&#1089;%20&#1040;&#1054;\&#1056;&#1050;-700-2%20&#1057;&#1041;.pdf" TargetMode="External"/><Relationship Id="rId57" Type="http://schemas.openxmlformats.org/officeDocument/2006/relationships/hyperlink" Target="file:///C:\Users\potapoval\Downloads\&#1050;&#1083;&#1072;&#1089;&#1089;\&#1056;&#1050;&#1054;\&#1051;&#1072;&#1089;&#1090;&#1086;&#1095;&#1082;&#1072;%20&#1057;&#1041;.pdf" TargetMode="External"/><Relationship Id="rId106" Type="http://schemas.openxmlformats.org/officeDocument/2006/relationships/hyperlink" Target="file:///C:\Users\potapoval\Downloads\&#1050;&#1083;&#1072;&#1089;&#1089;\&#1056;&#1050;&#1054;\&#1041;&#1072;&#1081;&#1082;&#1072;&#1083;.pdf" TargetMode="External"/><Relationship Id="rId127" Type="http://schemas.openxmlformats.org/officeDocument/2006/relationships/hyperlink" Target="file:///C:\Users\potapoval\Downloads\&#1050;&#1083;&#1072;&#1089;&#1089;\&#1056;&#1052;&#1056;&#1057;%20&#1089;%20&#1040;&#1054;\&#1045;&#1074;&#1075;&#1077;&#1085;&#1080;&#1081;%20&#1052;&#1086;&#1088;&#1086;&#1079;&#1086;&#1074;.pdf" TargetMode="External"/><Relationship Id="rId10" Type="http://schemas.openxmlformats.org/officeDocument/2006/relationships/hyperlink" Target="file:///C:\Users\potapoval\Downloads\&#1050;&#1083;&#1072;&#1089;&#1089;\&#1043;&#1048;&#1052;&#1057;\&#1060;&#1072;&#1074;&#1086;&#1088;&#1080;&#1090;%20470%20&#1056;&#1040;&#1060;%2019-04%20&#1057;&#1041;.pdf" TargetMode="External"/><Relationship Id="rId31" Type="http://schemas.openxmlformats.org/officeDocument/2006/relationships/hyperlink" Target="file:///C:\Users\potapoval\Downloads\&#1050;&#1083;&#1072;&#1089;&#1089;\&#1043;&#1048;&#1052;&#1057;\&#1056;&#1057;&#1071;%2007-52%20Lamor%207500%20Cabin.pdf" TargetMode="External"/><Relationship Id="rId52" Type="http://schemas.openxmlformats.org/officeDocument/2006/relationships/hyperlink" Target="file:///C:\Users\potapoval\Downloads\&#1050;&#1083;&#1072;&#1089;&#1089;\&#1056;&#1052;&#1056;&#1057;%20&#1089;%20&#1040;&#1054;\&#1052;&#1057;&#1057;-03%20&#1057;&#1041;.pdf" TargetMode="External"/><Relationship Id="rId73" Type="http://schemas.openxmlformats.org/officeDocument/2006/relationships/hyperlink" Target="file:///C:\Users\potapoval\Downloads\&#1050;&#1083;&#1072;&#1089;&#1089;\&#1056;&#1052;&#1056;&#1057;%20&#1089;%20&#1040;&#1054;\&#1041;&#1088;&#1080;&#1079;%20&#1057;&#1041;.pdf" TargetMode="External"/><Relationship Id="rId78" Type="http://schemas.openxmlformats.org/officeDocument/2006/relationships/hyperlink" Target="file:///C:\Users\potapoval\Downloads\&#1050;&#1083;&#1072;&#1089;&#1089;\&#1056;&#1052;&#1056;&#1057;%20&#1089;%20&#1040;&#1054;\&#1040;&#1088;&#1085;&#1077;&#1073;%20&#1057;&#1041;.pdf" TargetMode="External"/><Relationship Id="rId94" Type="http://schemas.openxmlformats.org/officeDocument/2006/relationships/hyperlink" Target="file:///C:\Users\potapoval\Downloads\&#1050;&#1083;&#1072;&#1089;&#1089;\&#1043;&#1048;&#1052;&#1057;\Yaxe%20HD365%20&#1057;&#1041;.pdf" TargetMode="External"/><Relationship Id="rId99" Type="http://schemas.openxmlformats.org/officeDocument/2006/relationships/hyperlink" Target="file:///C:\Users\potapoval\Downloads\&#1050;&#1083;&#1072;&#1089;&#1089;\&#1043;&#1048;&#1052;&#1057;\&#1056;&#1072;&#1089;&#1082;&#1072;&#1090;%20&#1057;&#1041;.pdf" TargetMode="External"/><Relationship Id="rId101" Type="http://schemas.openxmlformats.org/officeDocument/2006/relationships/hyperlink" Target="file:///C:\Users\potapoval\Downloads\&#1050;&#1083;&#1072;&#1089;&#1089;\&#1043;&#1048;&#1052;&#1057;\&#1040;&#1044;&#1052;&#1048;&#1056;&#1040;&#1051;%20ADM-610-1.pdf" TargetMode="External"/><Relationship Id="rId122" Type="http://schemas.openxmlformats.org/officeDocument/2006/relationships/hyperlink" Target="file:///C:\Users\potapoval\Downloads\&#1050;&#1083;&#1072;&#1089;&#1089;\&#1056;&#1050;&#1054;\&#1042;&#1056;&#1044;-1505.pdf" TargetMode="External"/><Relationship Id="rId143" Type="http://schemas.openxmlformats.org/officeDocument/2006/relationships/hyperlink" Target="file:///C:\Users\potapoval\Downloads\&#1050;&#1083;&#1072;&#1089;&#1089;\&#1056;&#1050;&#1054;\&#1053;&#1052;&#1057;-26%20&#1057;&#1041;.pdf" TargetMode="External"/><Relationship Id="rId148" Type="http://schemas.openxmlformats.org/officeDocument/2006/relationships/hyperlink" Target="file:///C:\Users\potapoval\Downloads\&#1050;&#1083;&#1072;&#1089;&#1089;\&#1056;&#1052;&#1056;&#1057;%20&#1089;%20&#1040;&#1054;\&#1047;&#1072;&#1083;&#1080;&#1074;%20&#1050;&#1083;&#1072;&#1089;&#1089;.pdf" TargetMode="External"/><Relationship Id="rId164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47;&#1091;&#1073;&#1095;&#1077;&#1085;&#1082;&#1086;.pdf" TargetMode="External"/><Relationship Id="rId169" Type="http://schemas.openxmlformats.org/officeDocument/2006/relationships/hyperlink" Target="file:///C:\Users\potapoval\Downloads\&#1050;&#1083;&#1072;&#1089;&#1089;\&#1056;&#1050;&#1054;\&#1055;&#1055;&#1057;-101.pdf" TargetMode="External"/><Relationship Id="rId185" Type="http://schemas.openxmlformats.org/officeDocument/2006/relationships/hyperlink" Target="file:///C:\Users\potapoval\Downloads\&#1050;&#1083;&#1072;&#1089;&#1089;\&#1056;&#1052;&#1056;&#1057;%20&#1089;%20&#1040;&#1054;\&#1040;&#1084;&#1073;&#1077;&#1088;.pdf" TargetMode="External"/><Relationship Id="rId4" Type="http://schemas.openxmlformats.org/officeDocument/2006/relationships/hyperlink" Target="file:///C:\Users\potapoval\Downloads\&#1050;&#1083;&#1072;&#1089;&#1089;\&#1043;&#1048;&#1052;&#1057;\&#1064;&#1077;&#1083;&#1100;&#1092;%20GT%20Jet.pdf" TargetMode="External"/><Relationship Id="rId9" Type="http://schemas.openxmlformats.org/officeDocument/2006/relationships/hyperlink" Target="file:///C:\Users\potapoval\Downloads\&#1050;&#1083;&#1072;&#1089;&#1089;\&#1056;&#1052;&#1056;&#1057;%20&#1089;%20&#1040;&#1054;\&#1061;&#1072;&#1081;&#1090;&#1077;&#1082;%2085&#1057;%20&#1041;&#1072;&#1083;&#1090;%20&#1057;&#1041;.pdf" TargetMode="External"/><Relationship Id="rId180" Type="http://schemas.openxmlformats.org/officeDocument/2006/relationships/hyperlink" Target="file:///C:\Users\potapoval\Downloads\&#1050;&#1083;&#1072;&#1089;&#1089;\&#1056;&#1052;&#1056;&#1057;%20&#1089;%20&#1040;&#1054;\&#1057;&#1086;&#1102;&#1079;.pdf" TargetMode="External"/><Relationship Id="rId210" Type="http://schemas.openxmlformats.org/officeDocument/2006/relationships/hyperlink" Target="file:///C:\Users\potapoval\Downloads\&#1050;&#1083;&#1072;&#1089;&#1089;\&#1056;&#1050;&#1054;\&#1041;&#1057;-220.pdf" TargetMode="External"/><Relationship Id="rId215" Type="http://schemas.openxmlformats.org/officeDocument/2006/relationships/hyperlink" Target="file:///C:\Users\potapoval\Downloads\&#1050;&#1083;&#1072;&#1089;&#1089;\&#1056;&#1050;&#1054;\&#1055;&#1050;-716.pdf" TargetMode="External"/><Relationship Id="rId236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44;&#1077;&#1084;&#1080;&#1076;&#1086;&#1074;.pdf" TargetMode="External"/><Relationship Id="rId26" Type="http://schemas.openxmlformats.org/officeDocument/2006/relationships/hyperlink" Target="file:///C:\Users\potapoval\Downloads\&#1050;&#1083;&#1072;&#1089;&#1089;\&#1056;&#1052;&#1056;&#1057;%20&#1089;%20&#1040;&#1054;\&#1057;&#1080;&#1083;&#1077;&#1075;&#1089;%20&#1057;&#1041;.pdf" TargetMode="External"/><Relationship Id="rId231" Type="http://schemas.openxmlformats.org/officeDocument/2006/relationships/hyperlink" Target="file:///C:\Users\potapoval\Downloads\&#1050;&#1083;&#1072;&#1089;&#1089;\&#1056;&#1052;&#1056;&#1057;%20&#1089;%20&#1040;&#1054;\&#1052;&#1043;-101.pdf" TargetMode="External"/><Relationship Id="rId252" Type="http://schemas.openxmlformats.org/officeDocument/2006/relationships/hyperlink" Target="file:///C:\Users\potapoval\Downloads\&#1050;&#1083;&#1072;&#1089;&#1089;\&#1056;&#1052;&#1056;&#1057;%20&#1089;%20&#1040;&#1054;\&#1052;&#1091;&#1088;&#1084;&#1072;&#1085;.pdf" TargetMode="External"/><Relationship Id="rId47" Type="http://schemas.openxmlformats.org/officeDocument/2006/relationships/hyperlink" Target="file:///C:\Users\potapoval\Downloads\&#1050;&#1083;&#1072;&#1089;&#1089;\&#1056;&#1052;&#1056;&#1057;%20&#1089;%20&#1040;&#1054;\&#1053;&#1077;&#1092;&#1090;&#1077;&#1089;&#1073;&#1086;&#1088;&#1097;&#1080;&#1082;-2%20&#1057;&#1041;.pdf" TargetMode="External"/><Relationship Id="rId68" Type="http://schemas.openxmlformats.org/officeDocument/2006/relationships/hyperlink" Target="file:///C:\Users\potapoval\Downloads\&#1050;&#1083;&#1072;&#1089;&#1089;\&#1056;&#1052;&#1056;&#1057;%20&#1089;%20&#1040;&#1054;\&#1050;&#1040;&#1056;&#1040;&#1058;%20&#1057;&#1041;.pdf" TargetMode="External"/><Relationship Id="rId89" Type="http://schemas.openxmlformats.org/officeDocument/2006/relationships/hyperlink" Target="file:///C:\Users\potapoval\Downloads\&#1050;&#1083;&#1072;&#1089;&#1089;\&#1056;&#1052;&#1056;&#1057;%20&#1089;%20&#1040;&#1054;\&#1040;&#1082;&#1074;&#1072;&#1084;&#1072;&#1088;&#1072;&#1085;-1%20&#1057;&#1041;%20&#1040;&#1063;&#1060;.pdf" TargetMode="External"/><Relationship Id="rId112" Type="http://schemas.openxmlformats.org/officeDocument/2006/relationships/hyperlink" Target="file:///C:\Users\potapoval\Downloads\&#1050;&#1083;&#1072;&#1089;&#1089;\&#1056;&#1050;&#1054;\&#1042;-719.PDF" TargetMode="External"/><Relationship Id="rId133" Type="http://schemas.openxmlformats.org/officeDocument/2006/relationships/hyperlink" Target="file:///C:\Users\potapoval\Downloads\&#1050;&#1083;&#1072;&#1089;&#1089;\&#1056;&#1052;&#1056;&#1057;%20&#1089;%20&#1040;&#1054;\&#1054;&#1073;&#1077;&#1088;&#1086;&#1085;%20&#1057;&#1074;&#1080;&#1076;&#1077;&#1090;&#1077;&#1083;&#1100;&#1089;&#1090;&#1074;&#1086;%20&#1086;%20&#1087;&#1088;&#1072;&#1074;&#1077;%20&#1089;&#1086;&#1073;&#1089;&#1090;&#1074;&#1077;&#1085;&#1085;&#1086;&#1089;&#1090;&#1080;.pdf" TargetMode="External"/><Relationship Id="rId154" Type="http://schemas.openxmlformats.org/officeDocument/2006/relationships/hyperlink" Target="file:///C:\Users\potapoval\Downloads\&#1050;&#1083;&#1072;&#1089;&#1089;\&#1056;&#1052;&#1056;&#1057;%20&#1089;%20&#1040;&#1054;\&#1052;&#1077;&#1090;&#1077;&#1083;&#1100;.pdf" TargetMode="External"/><Relationship Id="rId175" Type="http://schemas.openxmlformats.org/officeDocument/2006/relationships/hyperlink" Target="file:///C:\Users\potapoval\Downloads\&#1050;&#1083;&#1072;&#1089;&#1089;\&#1056;&#1050;&#1054;\&#1041;-1214.pdf" TargetMode="External"/><Relationship Id="rId196" Type="http://schemas.openxmlformats.org/officeDocument/2006/relationships/hyperlink" Target="file:///C:\Users\potapoval\Downloads\&#1050;&#1083;&#1072;&#1089;&#1089;\&#1056;&#1052;&#1056;&#1057;%20&#1089;%20&#1040;&#1054;\&#1056;&#1086;&#1089;&#1090;&#1086;&#1074;%20&#1042;&#1077;&#1083;&#1080;&#1082;&#1080;&#1081;.pdf" TargetMode="External"/><Relationship Id="rId200" Type="http://schemas.openxmlformats.org/officeDocument/2006/relationships/hyperlink" Target="file:///C:\Users\potapoval\Downloads\&#1050;&#1083;&#1072;&#1089;&#1089;\&#1056;&#1050;&#1054;\&#1041;&#1101;&#1081;.pdf" TargetMode="External"/><Relationship Id="rId16" Type="http://schemas.openxmlformats.org/officeDocument/2006/relationships/hyperlink" Target="file:///C:\Users\potapoval\Downloads\&#1050;&#1083;&#1072;&#1089;&#1089;\&#1056;&#1052;&#1056;&#1057;%20&#1089;%20&#1040;&#1054;\&#1059;&#1056;&#1040;-1.pdf" TargetMode="External"/><Relationship Id="rId221" Type="http://schemas.openxmlformats.org/officeDocument/2006/relationships/hyperlink" Target="file:///C:\Users\potapoval\Downloads\&#1050;&#1083;&#1072;&#1089;&#1089;\&#1056;&#1052;&#1056;&#1057;%20&#1089;%20&#1040;&#1054;\&#1041;&#1052;&#1057;-002.pdf" TargetMode="External"/><Relationship Id="rId242" Type="http://schemas.openxmlformats.org/officeDocument/2006/relationships/hyperlink" Target="file:///C:\Users\potapoval\Downloads\&#1050;&#1083;&#1072;&#1089;&#1089;\&#1056;&#1052;&#1056;&#1057;%20&#1089;%20&#1040;&#1054;\&#1055;&#1080;&#1083;&#1100;&#1090;&#1091;&#1085;.pdf" TargetMode="External"/><Relationship Id="rId37" Type="http://schemas.openxmlformats.org/officeDocument/2006/relationships/hyperlink" Target="file:///C:\Users\potapoval\Downloads\&#1050;&#1083;&#1072;&#1089;&#1089;\&#1056;&#1052;&#1056;&#1057;%20&#1089;%20&#1040;&#1054;\&#1056;&#1050;-700%20&#1057;&#1041;.pdf" TargetMode="External"/><Relationship Id="rId58" Type="http://schemas.openxmlformats.org/officeDocument/2006/relationships/hyperlink" Target="file:///C:\Users\potapoval\Downloads\&#1050;&#1083;&#1072;&#1089;&#1089;\&#1056;&#1052;&#1056;&#1057;%20&#1089;%20&#1040;&#1054;\&#1051;&#1040;&#1056;&#1053;-3.pdf" TargetMode="External"/><Relationship Id="rId79" Type="http://schemas.openxmlformats.org/officeDocument/2006/relationships/hyperlink" Target="file:///C:\Users\potapoval\Downloads\&#1050;&#1083;&#1072;&#1089;&#1089;\&#1056;&#1052;&#1056;&#1057;%20&#1089;%20&#1040;&#1054;\&#1040;&#1088;&#1082;&#1090;&#1080;&#1082;%20&#1057;&#1041;.pdf" TargetMode="External"/><Relationship Id="rId102" Type="http://schemas.openxmlformats.org/officeDocument/2006/relationships/hyperlink" Target="file:///C:\Users\potapoval\Downloads\&#1050;&#1083;&#1072;&#1089;&#1089;\&#1056;&#1052;&#1056;&#1057;%20&#1089;%20&#1040;&#1054;\&#1052;&#1056;&#1050;-1000%20&#1057;&#1041;.pdf" TargetMode="External"/><Relationship Id="rId123" Type="http://schemas.openxmlformats.org/officeDocument/2006/relationships/hyperlink" Target="file:///C:\Users\potapoval\Downloads\&#1050;&#1083;&#1072;&#1089;&#1089;\&#1056;&#1050;&#1054;\&#1042;&#1056;&#1044;-1170.pdf" TargetMode="External"/><Relationship Id="rId144" Type="http://schemas.openxmlformats.org/officeDocument/2006/relationships/hyperlink" Target="file:///C:\Users\potapoval\Downloads\&#1050;&#1083;&#1072;&#1089;&#1089;\&#1043;&#1048;&#1052;&#1057;\&#1050;&#1072;&#1081;&#1084;&#1072;&#1085;-1%20&#1057;&#1091;&#1076;&#1086;&#1074;&#1086;&#1081;%20&#1073;&#1080;&#1083;&#1077;&#1090;.pdf" TargetMode="External"/><Relationship Id="rId90" Type="http://schemas.openxmlformats.org/officeDocument/2006/relationships/hyperlink" Target="file:///C:\Users\potapoval\Downloads\&#1050;&#1083;&#1072;&#1089;&#1089;\&#1056;&#1052;&#1056;&#1057;%20&#1089;%20&#1040;&#1054;\&#1040;&#1076;&#1084;&#1080;&#1088;&#1072;&#1083;-4%20&#1057;&#1041;.pdf" TargetMode="External"/><Relationship Id="rId165" Type="http://schemas.openxmlformats.org/officeDocument/2006/relationships/hyperlink" Target="file:///C:\Users\potapoval\Downloads\&#1050;&#1083;&#1072;&#1089;&#1089;\&#1056;&#1052;&#1056;&#1057;%20&#1089;%20&#1040;&#1054;\&#1042;&#1086;&#1076;&#1086;&#1083;&#1072;&#1079;%20&#1044;&#1077;&#1085;&#1080;&#1089;&#1086;&#1074;.pdf" TargetMode="External"/><Relationship Id="rId186" Type="http://schemas.openxmlformats.org/officeDocument/2006/relationships/hyperlink" Target="file:///C:\Users\potapoval\Downloads\&#1050;&#1083;&#1072;&#1089;&#1089;\&#1056;&#1050;&#1054;\&#1055;&#1050;-717.PDF" TargetMode="External"/><Relationship Id="rId211" Type="http://schemas.openxmlformats.org/officeDocument/2006/relationships/hyperlink" Target="file:///C:\Users\potapoval\Downloads\&#1050;&#1083;&#1072;&#1089;&#1089;\&#1056;&#1050;&#1054;\&#1057;&#1077;&#1088;&#1075;&#1077;&#1081;%20&#1050;&#1083;&#1072;&#1076;&#1100;&#1082;&#1086;.pdf" TargetMode="External"/><Relationship Id="rId232" Type="http://schemas.openxmlformats.org/officeDocument/2006/relationships/hyperlink" Target="file:///C:\Users\potapoval\Downloads\&#1050;&#1083;&#1072;&#1089;&#1089;\&#1056;&#1052;&#1056;&#1057;%20&#1089;%20&#1040;&#1054;\&#1057;&#1087;&#1072;&#1089;&#1072;&#1090;&#1077;&#1083;&#1100;%20&#1050;&#1072;&#1088;&#1077;&#1074;.pdf" TargetMode="External"/><Relationship Id="rId253" Type="http://schemas.openxmlformats.org/officeDocument/2006/relationships/hyperlink" Target="file:///C:\Users\potapoval\Downloads\&#1050;&#1083;&#1072;&#1089;&#1089;\&#1056;&#1052;&#1056;&#1057;%20&#1089;%20&#1040;&#1054;\&#1041;&#1077;&#1088;&#1080;&#1085;&#1075;&#1086;&#1074;%20&#1055;&#1088;&#1086;&#1083;&#1080;&#1074;.pdf" TargetMode="External"/><Relationship Id="rId27" Type="http://schemas.openxmlformats.org/officeDocument/2006/relationships/hyperlink" Target="file:///C:\Users\potapoval\Downloads\&#1050;&#1083;&#1072;&#1089;&#1089;\&#1056;&#1052;&#1056;&#1057;%20&#1089;%20&#1040;&#1054;\&#1057;&#1080;&#1075;&#1085;&#1072;&#1083;%20&#1057;&#1041;.pdf" TargetMode="External"/><Relationship Id="rId48" Type="http://schemas.openxmlformats.org/officeDocument/2006/relationships/hyperlink" Target="file:///C:\Users\potapoval\Downloads\&#1050;&#1083;&#1072;&#1089;&#1089;\&#1056;&#1052;&#1056;&#1057;%20&#1089;%20&#1040;&#1054;\&#1053;&#1077;&#1092;&#1090;&#1077;&#1089;&#1073;&#1086;&#1088;&#1097;&#1080;&#1082;-1.pdf" TargetMode="External"/><Relationship Id="rId69" Type="http://schemas.openxmlformats.org/officeDocument/2006/relationships/hyperlink" Target="file:///C:\Users\potapoval\Downloads\&#1050;&#1083;&#1072;&#1089;&#1089;\&#1043;&#1048;&#1052;&#1057;\&#1043;&#1077;&#1088;&#1072;%20&#1057;&#1091;&#1076;&#1086;&#1074;&#1086;&#1081;%20&#1073;&#1080;&#1083;&#1077;&#1090;.pdf" TargetMode="External"/><Relationship Id="rId113" Type="http://schemas.openxmlformats.org/officeDocument/2006/relationships/hyperlink" Target="file:///C:\Users\potapoval\Downloads\&#1050;&#1083;&#1072;&#1089;&#1089;\&#1056;&#1050;&#1054;\&#1042;-710.pdf" TargetMode="External"/><Relationship Id="rId134" Type="http://schemas.openxmlformats.org/officeDocument/2006/relationships/hyperlink" Target="file:///C:\Users\potapoval\Downloads\&#1050;&#1083;&#1072;&#1089;&#1089;\&#1056;&#1050;&#1054;\&#1064;-706.PDF" TargetMode="External"/><Relationship Id="rId80" Type="http://schemas.openxmlformats.org/officeDocument/2006/relationships/hyperlink" Target="file:///C:\Users\potapoval\Downloads\&#1050;&#1083;&#1072;&#1089;&#1089;\&#1056;&#1052;&#1056;&#1057;%20&#1089;%20&#1040;&#1054;\&#1040;&#1088;&#1075;&#1086;%20&#1057;&#1041;.pdf" TargetMode="External"/><Relationship Id="rId155" Type="http://schemas.openxmlformats.org/officeDocument/2006/relationships/hyperlink" Target="file:///C:\Users\potapoval\Downloads\&#1050;&#1083;&#1072;&#1089;&#1089;\&#1056;&#1050;&#1054;\&#1041;&#1057;-320.pdf" TargetMode="External"/><Relationship Id="rId176" Type="http://schemas.openxmlformats.org/officeDocument/2006/relationships/hyperlink" Target="file:///C:\Users\potapoval\Downloads\&#1050;&#1083;&#1072;&#1089;&#1089;\&#1056;&#1052;&#1056;&#1057;%20&#1089;%20&#1040;&#1054;\&#1042;&#1099;&#1073;&#1086;&#1088;&#1075;.pdf" TargetMode="External"/><Relationship Id="rId197" Type="http://schemas.openxmlformats.org/officeDocument/2006/relationships/hyperlink" Target="file:///C:\Users\potapoval\Downloads\&#1050;&#1083;&#1072;&#1089;&#1089;\&#1056;&#1050;&#1054;\&#1055;&#1086;&#1076;&#1074;&#1086;&#1076;&#1085;&#1080;&#1082;.pdf" TargetMode="External"/><Relationship Id="rId201" Type="http://schemas.openxmlformats.org/officeDocument/2006/relationships/hyperlink" Target="file:///C:\Users\potapoval\Downloads\&#1050;&#1083;&#1072;&#1089;&#1089;\&#1056;&#1050;&#1054;\&#1055;&#1050;-109.pdf" TargetMode="External"/><Relationship Id="rId222" Type="http://schemas.openxmlformats.org/officeDocument/2006/relationships/hyperlink" Target="file:///C:\Users\potapoval\Downloads\&#1050;&#1083;&#1072;&#1089;&#1089;\&#1056;&#1052;&#1056;&#1057;%20&#1089;%20&#1040;&#1054;\&#1041;&#1052;&#1057;-001.pdf" TargetMode="External"/><Relationship Id="rId243" Type="http://schemas.openxmlformats.org/officeDocument/2006/relationships/hyperlink" Target="file:///C:\Users\potapoval\Downloads\&#1050;&#1083;&#1072;&#1089;&#1089;\&#1056;&#1052;&#1056;&#1057;%20&#1089;%20&#1040;&#1054;\&#1050;&#1072;&#1083;&#1072;&#1089;.pdf" TargetMode="External"/><Relationship Id="rId17" Type="http://schemas.openxmlformats.org/officeDocument/2006/relationships/hyperlink" Target="file:///C:\Users\potapoval\Downloads\&#1050;&#1083;&#1072;&#1089;&#1089;\&#1056;&#1052;&#1056;&#1057;%20&#1089;%20&#1040;&#1054;\&#1051;&#1040;&#1056;&#1053;-4.pdf" TargetMode="External"/><Relationship Id="rId38" Type="http://schemas.openxmlformats.org/officeDocument/2006/relationships/hyperlink" Target="file:///C:\Users\potapoval\Downloads\&#1050;&#1083;&#1072;&#1089;&#1089;\&#1056;&#1052;&#1056;&#1057;%20&#1089;%20&#1040;&#1054;\&#1056;&#1077;&#1079;&#1074;&#1099;&#1081;%20&#1057;&#1041;.pdf" TargetMode="External"/><Relationship Id="rId59" Type="http://schemas.openxmlformats.org/officeDocument/2006/relationships/hyperlink" Target="file:///C:\Users\potapoval\Downloads\&#1050;&#1083;&#1072;&#1089;&#1089;\&#1056;&#1052;&#1056;&#1057;%20&#1089;%20&#1040;&#1054;\&#1051;&#1040;&#1056;&#1053;-2.pdf" TargetMode="External"/><Relationship Id="rId103" Type="http://schemas.openxmlformats.org/officeDocument/2006/relationships/hyperlink" Target="file:///C:\Users\potapoval\Downloads\&#1050;&#1083;&#1072;&#1089;&#1089;\&#1056;&#1052;&#1056;&#1057;%20&#1089;%20&#1040;&#1054;\&#1057;&#1077;&#1074;&#1077;&#1088;-7%20&#1057;&#1041;.pdf" TargetMode="External"/><Relationship Id="rId124" Type="http://schemas.openxmlformats.org/officeDocument/2006/relationships/hyperlink" Target="file:///C:\Users\potapoval\Downloads\&#1050;&#1083;&#1072;&#1089;&#1089;\&#1056;&#1050;&#1054;\&#1042;&#1072;&#1083;&#1077;&#1085;&#1090;&#1080;&#1085;%20&#1055;&#1086;&#1076;&#1075;&#1086;&#1088;&#1085;&#1099;&#1081;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5"/>
  <sheetViews>
    <sheetView showGridLines="0" tabSelected="1" zoomScaleNormal="100" workbookViewId="0">
      <pane xSplit="4" ySplit="1" topLeftCell="E23" activePane="bottomRight" state="frozen"/>
      <selection pane="topRight"/>
      <selection pane="bottomLeft"/>
      <selection pane="bottomRight" activeCell="T1" sqref="T1:U1048576"/>
    </sheetView>
  </sheetViews>
  <sheetFormatPr defaultRowHeight="15" x14ac:dyDescent="0.25"/>
  <cols>
    <col min="1" max="1" width="5" style="22" customWidth="1"/>
    <col min="2" max="3" width="6.28515625" style="27" customWidth="1"/>
    <col min="4" max="4" width="28" style="22" customWidth="1"/>
    <col min="5" max="5" width="12" style="22" customWidth="1"/>
    <col min="6" max="6" width="7" style="22" customWidth="1"/>
    <col min="7" max="7" width="18" style="22" customWidth="1"/>
    <col min="8" max="8" width="14" style="22" customWidth="1"/>
    <col min="9" max="9" width="10" style="22" customWidth="1"/>
    <col min="10" max="10" width="14" style="22" customWidth="1"/>
    <col min="11" max="11" width="44.7109375" style="22" customWidth="1"/>
    <col min="12" max="13" width="7" style="22" customWidth="1"/>
    <col min="14" max="14" width="6" style="22" customWidth="1"/>
    <col min="15" max="15" width="16" style="22" customWidth="1"/>
    <col min="16" max="17" width="7" style="22" customWidth="1"/>
    <col min="18" max="18" width="6" style="22" customWidth="1"/>
    <col min="19" max="19" width="13" style="22" customWidth="1"/>
  </cols>
  <sheetData>
    <row r="1" spans="1:19" ht="32.1" customHeight="1" x14ac:dyDescent="0.25">
      <c r="A1" s="1" t="s">
        <v>0</v>
      </c>
      <c r="B1" s="1" t="s">
        <v>595</v>
      </c>
      <c r="C1" s="1" t="s">
        <v>618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5" customHeight="1" x14ac:dyDescent="0.25">
      <c r="A2" s="6">
        <v>168</v>
      </c>
      <c r="B2" s="6" t="s">
        <v>596</v>
      </c>
      <c r="C2" s="6"/>
      <c r="D2" s="7" t="s">
        <v>419</v>
      </c>
      <c r="E2" s="8" t="s">
        <v>420</v>
      </c>
      <c r="F2" s="9"/>
      <c r="G2" s="8" t="s">
        <v>421</v>
      </c>
      <c r="H2" s="8" t="s">
        <v>322</v>
      </c>
      <c r="I2" s="9"/>
      <c r="J2" s="8" t="s">
        <v>32</v>
      </c>
      <c r="K2" s="10" t="s">
        <v>323</v>
      </c>
      <c r="L2" s="9"/>
      <c r="M2" s="9"/>
      <c r="N2" s="9"/>
      <c r="O2" s="8" t="s">
        <v>324</v>
      </c>
      <c r="P2" s="9"/>
      <c r="Q2" s="9">
        <v>4.7</v>
      </c>
      <c r="R2" s="9">
        <v>1.7</v>
      </c>
      <c r="S2" s="8" t="s">
        <v>34</v>
      </c>
    </row>
    <row r="3" spans="1:19" ht="15" customHeight="1" x14ac:dyDescent="0.25">
      <c r="A3" s="6">
        <v>169</v>
      </c>
      <c r="B3" s="6" t="s">
        <v>596</v>
      </c>
      <c r="C3" s="6"/>
      <c r="D3" s="7" t="s">
        <v>422</v>
      </c>
      <c r="E3" s="8" t="s">
        <v>423</v>
      </c>
      <c r="F3" s="9">
        <v>2022</v>
      </c>
      <c r="G3" s="8" t="s">
        <v>421</v>
      </c>
      <c r="H3" s="8" t="s">
        <v>322</v>
      </c>
      <c r="I3" s="9"/>
      <c r="J3" s="8" t="s">
        <v>27</v>
      </c>
      <c r="K3" s="24" t="s">
        <v>323</v>
      </c>
      <c r="L3" s="9"/>
      <c r="M3" s="9">
        <v>44.1</v>
      </c>
      <c r="N3" s="9"/>
      <c r="O3" s="8" t="s">
        <v>324</v>
      </c>
      <c r="P3" s="9">
        <v>4</v>
      </c>
      <c r="Q3" s="9">
        <v>5.4</v>
      </c>
      <c r="R3" s="9">
        <v>2.23</v>
      </c>
      <c r="S3" s="8" t="s">
        <v>28</v>
      </c>
    </row>
    <row r="4" spans="1:19" ht="15" customHeight="1" x14ac:dyDescent="0.25">
      <c r="A4" s="6">
        <v>170</v>
      </c>
      <c r="B4" s="6" t="s">
        <v>596</v>
      </c>
      <c r="C4" s="6"/>
      <c r="D4" s="7" t="s">
        <v>424</v>
      </c>
      <c r="E4" s="8" t="s">
        <v>425</v>
      </c>
      <c r="F4" s="9">
        <v>2008</v>
      </c>
      <c r="G4" s="8" t="s">
        <v>426</v>
      </c>
      <c r="H4" s="8" t="s">
        <v>322</v>
      </c>
      <c r="I4" s="9"/>
      <c r="J4" s="8" t="s">
        <v>44</v>
      </c>
      <c r="K4" s="24" t="s">
        <v>323</v>
      </c>
      <c r="L4" s="9"/>
      <c r="M4" s="9">
        <v>4.4000000000000004</v>
      </c>
      <c r="N4" s="9"/>
      <c r="O4" s="8" t="s">
        <v>324</v>
      </c>
      <c r="P4" s="9">
        <v>18</v>
      </c>
      <c r="Q4" s="9">
        <v>3.65</v>
      </c>
      <c r="R4" s="9">
        <v>1.75</v>
      </c>
      <c r="S4" s="8" t="s">
        <v>28</v>
      </c>
    </row>
    <row r="5" spans="1:19" ht="15" customHeight="1" x14ac:dyDescent="0.25">
      <c r="A5" s="6">
        <v>162</v>
      </c>
      <c r="B5" s="6" t="s">
        <v>596</v>
      </c>
      <c r="C5" s="6"/>
      <c r="D5" s="7" t="s">
        <v>407</v>
      </c>
      <c r="E5" s="8" t="s">
        <v>408</v>
      </c>
      <c r="F5" s="9">
        <v>2018</v>
      </c>
      <c r="G5" s="8" t="s">
        <v>321</v>
      </c>
      <c r="H5" s="8" t="s">
        <v>322</v>
      </c>
      <c r="I5" s="9"/>
      <c r="J5" s="8" t="s">
        <v>37</v>
      </c>
      <c r="K5" s="24" t="s">
        <v>323</v>
      </c>
      <c r="L5" s="9">
        <v>1.9750000000000001</v>
      </c>
      <c r="M5" s="9">
        <v>55.15</v>
      </c>
      <c r="N5" s="9"/>
      <c r="O5" s="8" t="s">
        <v>324</v>
      </c>
      <c r="P5" s="9">
        <v>8</v>
      </c>
      <c r="Q5" s="9">
        <v>6.1</v>
      </c>
      <c r="R5" s="9">
        <v>2.2000000000000002</v>
      </c>
      <c r="S5" s="8" t="s">
        <v>38</v>
      </c>
    </row>
    <row r="6" spans="1:19" ht="15" customHeight="1" x14ac:dyDescent="0.25">
      <c r="A6" s="6">
        <v>163</v>
      </c>
      <c r="B6" s="6" t="s">
        <v>596</v>
      </c>
      <c r="C6" s="6"/>
      <c r="D6" s="7" t="s">
        <v>409</v>
      </c>
      <c r="E6" s="8" t="s">
        <v>408</v>
      </c>
      <c r="F6" s="9">
        <v>2018</v>
      </c>
      <c r="G6" s="8" t="s">
        <v>321</v>
      </c>
      <c r="H6" s="8" t="s">
        <v>322</v>
      </c>
      <c r="I6" s="9"/>
      <c r="J6" s="8" t="s">
        <v>37</v>
      </c>
      <c r="K6" s="24" t="s">
        <v>323</v>
      </c>
      <c r="L6" s="9">
        <v>1.9750000000000001</v>
      </c>
      <c r="M6" s="9">
        <v>55.15</v>
      </c>
      <c r="N6" s="9"/>
      <c r="O6" s="8" t="s">
        <v>324</v>
      </c>
      <c r="P6" s="9">
        <v>5</v>
      </c>
      <c r="Q6" s="9">
        <v>6.1</v>
      </c>
      <c r="R6" s="9">
        <v>2.2000000000000002</v>
      </c>
      <c r="S6" s="8" t="s">
        <v>38</v>
      </c>
    </row>
    <row r="7" spans="1:19" ht="15" customHeight="1" x14ac:dyDescent="0.25">
      <c r="A7" s="6">
        <v>171</v>
      </c>
      <c r="B7" s="6" t="s">
        <v>596</v>
      </c>
      <c r="C7" s="6"/>
      <c r="D7" s="7" t="s">
        <v>427</v>
      </c>
      <c r="E7" s="8"/>
      <c r="F7" s="9">
        <v>2022</v>
      </c>
      <c r="G7" s="8" t="s">
        <v>428</v>
      </c>
      <c r="H7" s="8" t="s">
        <v>98</v>
      </c>
      <c r="I7" s="9"/>
      <c r="J7" s="8" t="s">
        <v>37</v>
      </c>
      <c r="K7" s="24" t="s">
        <v>323</v>
      </c>
      <c r="L7" s="9"/>
      <c r="M7" s="9">
        <v>36.799999999999997</v>
      </c>
      <c r="N7" s="9"/>
      <c r="O7" s="8" t="s">
        <v>324</v>
      </c>
      <c r="P7" s="9">
        <v>4</v>
      </c>
      <c r="Q7" s="9">
        <v>5</v>
      </c>
      <c r="R7" s="9">
        <v>2.2000000000000002</v>
      </c>
      <c r="S7" s="8" t="s">
        <v>38</v>
      </c>
    </row>
    <row r="8" spans="1:19" ht="15" customHeight="1" x14ac:dyDescent="0.25">
      <c r="A8" s="6">
        <v>172</v>
      </c>
      <c r="B8" s="6" t="s">
        <v>596</v>
      </c>
      <c r="C8" s="6"/>
      <c r="D8" s="7" t="s">
        <v>429</v>
      </c>
      <c r="E8" s="8"/>
      <c r="F8" s="9">
        <v>2022</v>
      </c>
      <c r="G8" s="8" t="s">
        <v>428</v>
      </c>
      <c r="H8" s="8" t="s">
        <v>98</v>
      </c>
      <c r="I8" s="9"/>
      <c r="J8" s="8" t="s">
        <v>37</v>
      </c>
      <c r="K8" s="24" t="s">
        <v>323</v>
      </c>
      <c r="L8" s="9"/>
      <c r="M8" s="9">
        <v>36.799999999999997</v>
      </c>
      <c r="N8" s="9"/>
      <c r="O8" s="8" t="s">
        <v>324</v>
      </c>
      <c r="P8" s="9">
        <v>4</v>
      </c>
      <c r="Q8" s="9">
        <v>5</v>
      </c>
      <c r="R8" s="9">
        <v>2.2000000000000002</v>
      </c>
      <c r="S8" s="8" t="s">
        <v>38</v>
      </c>
    </row>
    <row r="9" spans="1:19" ht="15" customHeight="1" x14ac:dyDescent="0.25">
      <c r="A9" s="6">
        <v>173</v>
      </c>
      <c r="B9" s="6" t="s">
        <v>596</v>
      </c>
      <c r="C9" s="6"/>
      <c r="D9" s="7" t="s">
        <v>430</v>
      </c>
      <c r="E9" s="8"/>
      <c r="F9" s="9">
        <v>2023</v>
      </c>
      <c r="G9" s="8" t="s">
        <v>431</v>
      </c>
      <c r="H9" s="8" t="s">
        <v>98</v>
      </c>
      <c r="I9" s="9"/>
      <c r="J9" s="8" t="s">
        <v>37</v>
      </c>
      <c r="K9" s="24" t="s">
        <v>323</v>
      </c>
      <c r="L9" s="9"/>
      <c r="M9" s="9">
        <v>29.4</v>
      </c>
      <c r="N9" s="9"/>
      <c r="O9" s="8" t="s">
        <v>324</v>
      </c>
      <c r="P9" s="9">
        <v>3</v>
      </c>
      <c r="Q9" s="9">
        <v>5</v>
      </c>
      <c r="R9" s="9">
        <v>2.2000000000000002</v>
      </c>
      <c r="S9" s="8" t="s">
        <v>38</v>
      </c>
    </row>
    <row r="10" spans="1:19" ht="15" customHeight="1" x14ac:dyDescent="0.25">
      <c r="A10" s="6">
        <v>174</v>
      </c>
      <c r="B10" s="6" t="s">
        <v>596</v>
      </c>
      <c r="C10" s="6"/>
      <c r="D10" s="7" t="s">
        <v>432</v>
      </c>
      <c r="E10" s="8"/>
      <c r="F10" s="9">
        <v>2023</v>
      </c>
      <c r="G10" s="8" t="s">
        <v>431</v>
      </c>
      <c r="H10" s="8" t="s">
        <v>98</v>
      </c>
      <c r="I10" s="9"/>
      <c r="J10" s="8" t="s">
        <v>37</v>
      </c>
      <c r="K10" s="24" t="s">
        <v>323</v>
      </c>
      <c r="L10" s="9"/>
      <c r="M10" s="9">
        <v>29.4</v>
      </c>
      <c r="N10" s="9"/>
      <c r="O10" s="8" t="s">
        <v>324</v>
      </c>
      <c r="P10" s="9">
        <v>3</v>
      </c>
      <c r="Q10" s="9">
        <v>5</v>
      </c>
      <c r="R10" s="9">
        <v>2.2000000000000002</v>
      </c>
      <c r="S10" s="8" t="s">
        <v>38</v>
      </c>
    </row>
    <row r="11" spans="1:19" ht="15" customHeight="1" x14ac:dyDescent="0.25">
      <c r="A11" s="6">
        <v>155</v>
      </c>
      <c r="B11" s="6" t="s">
        <v>597</v>
      </c>
      <c r="C11" s="6" t="s">
        <v>623</v>
      </c>
      <c r="D11" s="7" t="s">
        <v>392</v>
      </c>
      <c r="E11" s="8" t="s">
        <v>393</v>
      </c>
      <c r="F11" s="9">
        <v>2017</v>
      </c>
      <c r="G11" s="8" t="s">
        <v>394</v>
      </c>
      <c r="H11" s="8" t="s">
        <v>98</v>
      </c>
      <c r="I11" s="9"/>
      <c r="J11" s="8" t="s">
        <v>32</v>
      </c>
      <c r="K11" s="32" t="s">
        <v>395</v>
      </c>
      <c r="L11" s="9">
        <v>27</v>
      </c>
      <c r="M11" s="9">
        <v>1472</v>
      </c>
      <c r="N11" s="9"/>
      <c r="O11" s="8" t="s">
        <v>396</v>
      </c>
      <c r="P11" s="9">
        <v>9</v>
      </c>
      <c r="Q11" s="9">
        <v>18.2</v>
      </c>
      <c r="R11" s="9">
        <v>3.8</v>
      </c>
      <c r="S11" s="8" t="s">
        <v>212</v>
      </c>
    </row>
    <row r="12" spans="1:19" ht="15" customHeight="1" x14ac:dyDescent="0.25">
      <c r="A12" s="6">
        <v>176</v>
      </c>
      <c r="B12" s="6" t="s">
        <v>596</v>
      </c>
      <c r="C12" s="6"/>
      <c r="D12" s="7" t="s">
        <v>433</v>
      </c>
      <c r="E12" s="8" t="s">
        <v>435</v>
      </c>
      <c r="F12" s="9">
        <v>2018</v>
      </c>
      <c r="G12" s="8" t="s">
        <v>421</v>
      </c>
      <c r="H12" s="8" t="s">
        <v>98</v>
      </c>
      <c r="I12" s="9"/>
      <c r="J12" s="8" t="s">
        <v>64</v>
      </c>
      <c r="K12" s="24" t="s">
        <v>323</v>
      </c>
      <c r="L12" s="9"/>
      <c r="M12" s="9">
        <v>22.1</v>
      </c>
      <c r="N12" s="9"/>
      <c r="O12" s="8" t="s">
        <v>324</v>
      </c>
      <c r="P12" s="9">
        <v>8</v>
      </c>
      <c r="Q12" s="9">
        <v>3.8</v>
      </c>
      <c r="R12" s="9">
        <v>1.75</v>
      </c>
      <c r="S12" s="8" t="s">
        <v>65</v>
      </c>
    </row>
    <row r="13" spans="1:19" ht="15" customHeight="1" x14ac:dyDescent="0.25">
      <c r="A13" s="6">
        <v>175</v>
      </c>
      <c r="B13" s="6" t="s">
        <v>596</v>
      </c>
      <c r="C13" s="6"/>
      <c r="D13" s="7" t="s">
        <v>433</v>
      </c>
      <c r="E13" s="8" t="s">
        <v>434</v>
      </c>
      <c r="F13" s="9">
        <v>2017</v>
      </c>
      <c r="G13" s="8" t="s">
        <v>431</v>
      </c>
      <c r="H13" s="8" t="s">
        <v>98</v>
      </c>
      <c r="I13" s="9"/>
      <c r="J13" s="8" t="s">
        <v>37</v>
      </c>
      <c r="K13" s="24" t="s">
        <v>323</v>
      </c>
      <c r="L13" s="9"/>
      <c r="M13" s="9">
        <v>29.4</v>
      </c>
      <c r="N13" s="9"/>
      <c r="O13" s="8" t="s">
        <v>324</v>
      </c>
      <c r="P13" s="9">
        <v>9</v>
      </c>
      <c r="Q13" s="9">
        <v>4.7</v>
      </c>
      <c r="R13" s="9">
        <v>2.1</v>
      </c>
      <c r="S13" s="8" t="s">
        <v>38</v>
      </c>
    </row>
    <row r="14" spans="1:19" ht="15" customHeight="1" x14ac:dyDescent="0.25">
      <c r="A14" s="6">
        <v>178</v>
      </c>
      <c r="B14" s="6" t="s">
        <v>596</v>
      </c>
      <c r="C14" s="6"/>
      <c r="D14" s="7" t="s">
        <v>436</v>
      </c>
      <c r="E14" s="8" t="s">
        <v>435</v>
      </c>
      <c r="F14" s="9">
        <v>2018</v>
      </c>
      <c r="G14" s="8" t="s">
        <v>421</v>
      </c>
      <c r="H14" s="8" t="s">
        <v>98</v>
      </c>
      <c r="I14" s="9"/>
      <c r="J14" s="8" t="s">
        <v>64</v>
      </c>
      <c r="K14" s="24" t="s">
        <v>323</v>
      </c>
      <c r="L14" s="9"/>
      <c r="M14" s="9">
        <v>22.1</v>
      </c>
      <c r="N14" s="9"/>
      <c r="O14" s="8" t="s">
        <v>324</v>
      </c>
      <c r="P14" s="9">
        <v>8</v>
      </c>
      <c r="Q14" s="9">
        <v>3.8</v>
      </c>
      <c r="R14" s="9">
        <v>1.75</v>
      </c>
      <c r="S14" s="8" t="s">
        <v>65</v>
      </c>
    </row>
    <row r="15" spans="1:19" ht="15" customHeight="1" x14ac:dyDescent="0.25">
      <c r="A15" s="6">
        <v>177</v>
      </c>
      <c r="B15" s="6" t="s">
        <v>596</v>
      </c>
      <c r="C15" s="6"/>
      <c r="D15" s="7" t="s">
        <v>436</v>
      </c>
      <c r="E15" s="8" t="s">
        <v>434</v>
      </c>
      <c r="F15" s="9">
        <v>2017</v>
      </c>
      <c r="G15" s="8" t="s">
        <v>431</v>
      </c>
      <c r="H15" s="8" t="s">
        <v>98</v>
      </c>
      <c r="I15" s="9"/>
      <c r="J15" s="8" t="s">
        <v>37</v>
      </c>
      <c r="K15" s="24" t="s">
        <v>323</v>
      </c>
      <c r="L15" s="9"/>
      <c r="M15" s="9">
        <v>29.4</v>
      </c>
      <c r="N15" s="9"/>
      <c r="O15" s="8" t="s">
        <v>324</v>
      </c>
      <c r="P15" s="9">
        <v>9</v>
      </c>
      <c r="Q15" s="9">
        <v>4.7</v>
      </c>
      <c r="R15" s="9">
        <v>2.1</v>
      </c>
      <c r="S15" s="8" t="s">
        <v>38</v>
      </c>
    </row>
    <row r="16" spans="1:19" ht="15" customHeight="1" x14ac:dyDescent="0.25">
      <c r="A16" s="6">
        <v>179</v>
      </c>
      <c r="B16" s="6" t="s">
        <v>596</v>
      </c>
      <c r="C16" s="6"/>
      <c r="D16" s="7" t="s">
        <v>437</v>
      </c>
      <c r="E16" s="8" t="s">
        <v>438</v>
      </c>
      <c r="F16" s="9">
        <v>2022</v>
      </c>
      <c r="G16" s="8" t="s">
        <v>439</v>
      </c>
      <c r="H16" s="8" t="s">
        <v>322</v>
      </c>
      <c r="I16" s="9"/>
      <c r="J16" s="8"/>
      <c r="K16" s="24" t="s">
        <v>323</v>
      </c>
      <c r="L16" s="9"/>
      <c r="M16" s="9">
        <v>29.4</v>
      </c>
      <c r="N16" s="9"/>
      <c r="O16" s="8" t="s">
        <v>324</v>
      </c>
      <c r="P16" s="9">
        <v>4</v>
      </c>
      <c r="Q16" s="9">
        <v>4.5999999999999996</v>
      </c>
      <c r="R16" s="9">
        <v>2.02</v>
      </c>
      <c r="S16" s="8" t="s">
        <v>38</v>
      </c>
    </row>
    <row r="17" spans="1:19" ht="15" customHeight="1" x14ac:dyDescent="0.25">
      <c r="A17" s="6">
        <v>180</v>
      </c>
      <c r="B17" s="6" t="s">
        <v>596</v>
      </c>
      <c r="C17" s="6"/>
      <c r="D17" s="7" t="s">
        <v>440</v>
      </c>
      <c r="E17" s="8" t="s">
        <v>438</v>
      </c>
      <c r="F17" s="9">
        <v>2022</v>
      </c>
      <c r="G17" s="8" t="s">
        <v>439</v>
      </c>
      <c r="H17" s="8" t="s">
        <v>322</v>
      </c>
      <c r="I17" s="9"/>
      <c r="J17" s="8"/>
      <c r="K17" s="24" t="s">
        <v>323</v>
      </c>
      <c r="L17" s="9"/>
      <c r="M17" s="9">
        <v>29.4</v>
      </c>
      <c r="N17" s="9"/>
      <c r="O17" s="8" t="s">
        <v>324</v>
      </c>
      <c r="P17" s="9">
        <v>4</v>
      </c>
      <c r="Q17" s="9">
        <v>4.5999999999999996</v>
      </c>
      <c r="R17" s="9">
        <v>2.02</v>
      </c>
      <c r="S17" s="8" t="s">
        <v>38</v>
      </c>
    </row>
    <row r="18" spans="1:19" ht="15" customHeight="1" x14ac:dyDescent="0.25">
      <c r="A18" s="6">
        <v>121</v>
      </c>
      <c r="B18" s="6" t="s">
        <v>597</v>
      </c>
      <c r="C18" s="6" t="s">
        <v>619</v>
      </c>
      <c r="D18" s="7" t="s">
        <v>327</v>
      </c>
      <c r="E18" s="8" t="s">
        <v>328</v>
      </c>
      <c r="F18" s="9">
        <v>2016</v>
      </c>
      <c r="G18" s="8" t="s">
        <v>329</v>
      </c>
      <c r="H18" s="8" t="s">
        <v>98</v>
      </c>
      <c r="I18" s="9"/>
      <c r="J18" s="8" t="s">
        <v>64</v>
      </c>
      <c r="K18" s="32" t="s">
        <v>330</v>
      </c>
      <c r="L18" s="9">
        <v>56</v>
      </c>
      <c r="M18" s="9">
        <v>1176</v>
      </c>
      <c r="N18" s="9"/>
      <c r="O18" s="8" t="s">
        <v>127</v>
      </c>
      <c r="P18" s="9">
        <v>10</v>
      </c>
      <c r="Q18" s="9">
        <v>19.829999999999998</v>
      </c>
      <c r="R18" s="9">
        <v>5</v>
      </c>
      <c r="S18" s="8" t="s">
        <v>65</v>
      </c>
    </row>
    <row r="19" spans="1:19" ht="15" customHeight="1" x14ac:dyDescent="0.25">
      <c r="A19" s="6">
        <v>181</v>
      </c>
      <c r="B19" s="6" t="s">
        <v>597</v>
      </c>
      <c r="C19" s="6" t="s">
        <v>621</v>
      </c>
      <c r="D19" s="7" t="s">
        <v>441</v>
      </c>
      <c r="E19" s="8" t="s">
        <v>442</v>
      </c>
      <c r="F19" s="9">
        <v>1989</v>
      </c>
      <c r="G19" s="8" t="s">
        <v>443</v>
      </c>
      <c r="H19" s="8" t="s">
        <v>98</v>
      </c>
      <c r="I19" s="9"/>
      <c r="J19" s="8" t="s">
        <v>27</v>
      </c>
      <c r="K19" s="32" t="s">
        <v>323</v>
      </c>
      <c r="L19" s="9"/>
      <c r="M19" s="9">
        <v>524</v>
      </c>
      <c r="N19" s="9"/>
      <c r="O19" s="8" t="s">
        <v>444</v>
      </c>
      <c r="P19" s="12">
        <v>37</v>
      </c>
      <c r="Q19" s="9">
        <v>14.75</v>
      </c>
      <c r="R19" s="9">
        <v>4</v>
      </c>
      <c r="S19" s="8" t="s">
        <v>28</v>
      </c>
    </row>
    <row r="20" spans="1:19" ht="15" customHeight="1" x14ac:dyDescent="0.25">
      <c r="A20" s="6">
        <v>182</v>
      </c>
      <c r="B20" s="6" t="s">
        <v>598</v>
      </c>
      <c r="C20" s="6" t="s">
        <v>621</v>
      </c>
      <c r="D20" s="7" t="s">
        <v>445</v>
      </c>
      <c r="E20" s="8" t="s">
        <v>405</v>
      </c>
      <c r="F20" s="9">
        <v>2019</v>
      </c>
      <c r="G20" s="8" t="s">
        <v>446</v>
      </c>
      <c r="H20" s="8" t="s">
        <v>98</v>
      </c>
      <c r="I20" s="9"/>
      <c r="J20" s="8" t="s">
        <v>27</v>
      </c>
      <c r="K20" s="32" t="s">
        <v>323</v>
      </c>
      <c r="L20" s="9"/>
      <c r="M20" s="9">
        <v>398</v>
      </c>
      <c r="N20" s="9"/>
      <c r="O20" s="8" t="s">
        <v>324</v>
      </c>
      <c r="P20" s="9">
        <v>7</v>
      </c>
      <c r="Q20" s="9">
        <v>11.4</v>
      </c>
      <c r="R20" s="9">
        <v>3.9</v>
      </c>
      <c r="S20" s="8" t="s">
        <v>28</v>
      </c>
    </row>
    <row r="21" spans="1:19" ht="15" customHeight="1" x14ac:dyDescent="0.25">
      <c r="A21" s="6">
        <v>183</v>
      </c>
      <c r="B21" s="6" t="s">
        <v>597</v>
      </c>
      <c r="C21" s="6" t="s">
        <v>621</v>
      </c>
      <c r="D21" s="7" t="s">
        <v>447</v>
      </c>
      <c r="E21" s="8" t="s">
        <v>442</v>
      </c>
      <c r="F21" s="9">
        <v>1989</v>
      </c>
      <c r="G21" s="8" t="s">
        <v>329</v>
      </c>
      <c r="H21" s="8" t="s">
        <v>98</v>
      </c>
      <c r="I21" s="9"/>
      <c r="J21" s="8" t="s">
        <v>27</v>
      </c>
      <c r="K21" s="32" t="s">
        <v>323</v>
      </c>
      <c r="L21" s="9"/>
      <c r="M21" s="9">
        <v>524</v>
      </c>
      <c r="N21" s="9"/>
      <c r="O21" s="8" t="s">
        <v>324</v>
      </c>
      <c r="P21" s="12">
        <v>37</v>
      </c>
      <c r="Q21" s="9">
        <v>14.75</v>
      </c>
      <c r="R21" s="9">
        <v>4</v>
      </c>
      <c r="S21" s="8" t="s">
        <v>28</v>
      </c>
    </row>
    <row r="22" spans="1:19" ht="15" customHeight="1" x14ac:dyDescent="0.25">
      <c r="A22" s="13">
        <v>78</v>
      </c>
      <c r="B22" s="13" t="s">
        <v>599</v>
      </c>
      <c r="C22" s="13" t="s">
        <v>626</v>
      </c>
      <c r="D22" s="14" t="s">
        <v>221</v>
      </c>
      <c r="E22" s="15" t="s">
        <v>222</v>
      </c>
      <c r="F22" s="16">
        <v>2007</v>
      </c>
      <c r="G22" s="15" t="s">
        <v>35</v>
      </c>
      <c r="H22" s="15" t="s">
        <v>181</v>
      </c>
      <c r="I22" s="16">
        <v>9431939</v>
      </c>
      <c r="J22" s="15" t="s">
        <v>21</v>
      </c>
      <c r="K22" s="31" t="s">
        <v>223</v>
      </c>
      <c r="L22" s="16">
        <v>286</v>
      </c>
      <c r="M22" s="16">
        <v>2388</v>
      </c>
      <c r="N22" s="16">
        <v>42</v>
      </c>
      <c r="O22" s="15" t="s">
        <v>23</v>
      </c>
      <c r="P22" s="16">
        <v>19</v>
      </c>
      <c r="Q22" s="16">
        <v>31</v>
      </c>
      <c r="R22" s="16">
        <v>9</v>
      </c>
      <c r="S22" s="15" t="s">
        <v>24</v>
      </c>
    </row>
    <row r="23" spans="1:19" ht="15" customHeight="1" x14ac:dyDescent="0.25">
      <c r="A23" s="6">
        <v>184</v>
      </c>
      <c r="B23" s="6" t="s">
        <v>596</v>
      </c>
      <c r="C23" s="6"/>
      <c r="D23" s="7" t="s">
        <v>448</v>
      </c>
      <c r="E23" s="8" t="s">
        <v>449</v>
      </c>
      <c r="F23" s="9">
        <v>1987</v>
      </c>
      <c r="G23" s="8" t="s">
        <v>450</v>
      </c>
      <c r="H23" s="8" t="s">
        <v>322</v>
      </c>
      <c r="I23" s="9"/>
      <c r="J23" s="8" t="s">
        <v>73</v>
      </c>
      <c r="K23" s="24" t="s">
        <v>323</v>
      </c>
      <c r="L23" s="9"/>
      <c r="M23" s="9">
        <v>51.5</v>
      </c>
      <c r="N23" s="9"/>
      <c r="O23" s="8" t="s">
        <v>324</v>
      </c>
      <c r="P23" s="12">
        <v>39</v>
      </c>
      <c r="Q23" s="9">
        <v>6.1</v>
      </c>
      <c r="R23" s="9">
        <v>1.84</v>
      </c>
      <c r="S23" s="8" t="s">
        <v>76</v>
      </c>
    </row>
    <row r="24" spans="1:19" ht="15" customHeight="1" x14ac:dyDescent="0.25">
      <c r="A24" s="6">
        <v>185</v>
      </c>
      <c r="B24" s="6" t="s">
        <v>596</v>
      </c>
      <c r="C24" s="6"/>
      <c r="D24" s="7" t="s">
        <v>451</v>
      </c>
      <c r="E24" s="8" t="s">
        <v>449</v>
      </c>
      <c r="F24" s="9">
        <v>1987</v>
      </c>
      <c r="G24" s="8" t="s">
        <v>450</v>
      </c>
      <c r="H24" s="8" t="s">
        <v>322</v>
      </c>
      <c r="I24" s="9"/>
      <c r="J24" s="8" t="s">
        <v>73</v>
      </c>
      <c r="K24" s="24" t="s">
        <v>323</v>
      </c>
      <c r="L24" s="9"/>
      <c r="M24" s="9">
        <v>51.5</v>
      </c>
      <c r="N24" s="9"/>
      <c r="O24" s="8" t="s">
        <v>324</v>
      </c>
      <c r="P24" s="12">
        <v>39</v>
      </c>
      <c r="Q24" s="9">
        <v>6.3</v>
      </c>
      <c r="R24" s="9">
        <v>1.84</v>
      </c>
      <c r="S24" s="8" t="s">
        <v>76</v>
      </c>
    </row>
    <row r="25" spans="1:19" ht="15" customHeight="1" x14ac:dyDescent="0.25">
      <c r="A25" s="6">
        <v>131</v>
      </c>
      <c r="B25" s="6" t="s">
        <v>597</v>
      </c>
      <c r="C25" s="6" t="s">
        <v>620</v>
      </c>
      <c r="D25" s="7" t="s">
        <v>345</v>
      </c>
      <c r="E25" s="8" t="s">
        <v>346</v>
      </c>
      <c r="F25" s="9">
        <v>2010</v>
      </c>
      <c r="G25" s="8" t="s">
        <v>329</v>
      </c>
      <c r="H25" s="8" t="s">
        <v>98</v>
      </c>
      <c r="I25" s="9"/>
      <c r="J25" s="8" t="s">
        <v>64</v>
      </c>
      <c r="K25" s="32" t="s">
        <v>347</v>
      </c>
      <c r="L25" s="9">
        <v>46</v>
      </c>
      <c r="M25" s="9">
        <v>882</v>
      </c>
      <c r="N25" s="9"/>
      <c r="O25" s="8" t="s">
        <v>127</v>
      </c>
      <c r="P25" s="9">
        <v>16</v>
      </c>
      <c r="Q25" s="9">
        <v>19.899999999999999</v>
      </c>
      <c r="R25" s="9">
        <v>4.7</v>
      </c>
      <c r="S25" s="8" t="s">
        <v>38</v>
      </c>
    </row>
    <row r="26" spans="1:19" ht="15" customHeight="1" x14ac:dyDescent="0.25">
      <c r="A26" s="6">
        <v>132</v>
      </c>
      <c r="B26" s="6" t="s">
        <v>597</v>
      </c>
      <c r="C26" s="6" t="s">
        <v>619</v>
      </c>
      <c r="D26" s="7" t="s">
        <v>348</v>
      </c>
      <c r="E26" s="8" t="s">
        <v>346</v>
      </c>
      <c r="F26" s="9">
        <v>2010</v>
      </c>
      <c r="G26" s="8" t="s">
        <v>329</v>
      </c>
      <c r="H26" s="8" t="s">
        <v>98</v>
      </c>
      <c r="I26" s="9"/>
      <c r="J26" s="8" t="s">
        <v>64</v>
      </c>
      <c r="K26" s="32" t="s">
        <v>330</v>
      </c>
      <c r="L26" s="9">
        <v>46</v>
      </c>
      <c r="M26" s="9">
        <v>882</v>
      </c>
      <c r="N26" s="9"/>
      <c r="O26" s="8" t="s">
        <v>127</v>
      </c>
      <c r="P26" s="9">
        <v>16</v>
      </c>
      <c r="Q26" s="9">
        <v>19.899999999999999</v>
      </c>
      <c r="R26" s="9">
        <v>4.7</v>
      </c>
      <c r="S26" s="8" t="s">
        <v>65</v>
      </c>
    </row>
    <row r="27" spans="1:19" ht="15" customHeight="1" x14ac:dyDescent="0.25">
      <c r="A27" s="6">
        <v>186</v>
      </c>
      <c r="B27" s="6" t="s">
        <v>600</v>
      </c>
      <c r="C27" s="6" t="s">
        <v>625</v>
      </c>
      <c r="D27" s="7" t="s">
        <v>452</v>
      </c>
      <c r="E27" s="8">
        <v>110</v>
      </c>
      <c r="F27" s="9">
        <v>2005</v>
      </c>
      <c r="G27" s="8" t="s">
        <v>453</v>
      </c>
      <c r="H27" s="8" t="s">
        <v>98</v>
      </c>
      <c r="I27" s="9"/>
      <c r="J27" s="8" t="s">
        <v>73</v>
      </c>
      <c r="K27" s="24" t="s">
        <v>323</v>
      </c>
      <c r="L27" s="9"/>
      <c r="M27" s="9">
        <v>117.68</v>
      </c>
      <c r="N27" s="9"/>
      <c r="O27" s="8" t="s">
        <v>324</v>
      </c>
      <c r="P27" s="9">
        <v>21</v>
      </c>
      <c r="Q27" s="9">
        <v>8.74</v>
      </c>
      <c r="R27" s="9">
        <v>3.8</v>
      </c>
      <c r="S27" s="8" t="s">
        <v>76</v>
      </c>
    </row>
    <row r="28" spans="1:19" ht="15" customHeight="1" x14ac:dyDescent="0.25">
      <c r="A28" s="6">
        <v>188</v>
      </c>
      <c r="B28" s="6" t="s">
        <v>597</v>
      </c>
      <c r="C28" s="6" t="s">
        <v>621</v>
      </c>
      <c r="D28" s="7" t="s">
        <v>455</v>
      </c>
      <c r="E28" s="8" t="s">
        <v>456</v>
      </c>
      <c r="F28" s="9">
        <v>1989</v>
      </c>
      <c r="G28" s="8" t="s">
        <v>329</v>
      </c>
      <c r="H28" s="8" t="s">
        <v>98</v>
      </c>
      <c r="I28" s="9"/>
      <c r="J28" s="8" t="s">
        <v>27</v>
      </c>
      <c r="K28" s="32" t="s">
        <v>323</v>
      </c>
      <c r="L28" s="9"/>
      <c r="M28" s="9">
        <v>524</v>
      </c>
      <c r="N28" s="9"/>
      <c r="O28" s="8" t="s">
        <v>324</v>
      </c>
      <c r="P28" s="12">
        <v>37</v>
      </c>
      <c r="Q28" s="9">
        <v>14.75</v>
      </c>
      <c r="R28" s="9">
        <v>4</v>
      </c>
      <c r="S28" s="8" t="s">
        <v>28</v>
      </c>
    </row>
    <row r="29" spans="1:19" ht="15" customHeight="1" x14ac:dyDescent="0.25">
      <c r="A29" s="2">
        <v>1</v>
      </c>
      <c r="B29" s="2" t="s">
        <v>601</v>
      </c>
      <c r="C29" s="2" t="s">
        <v>621</v>
      </c>
      <c r="D29" s="3" t="s">
        <v>17</v>
      </c>
      <c r="E29" s="4" t="s">
        <v>18</v>
      </c>
      <c r="F29" s="5">
        <v>2018</v>
      </c>
      <c r="G29" s="4" t="s">
        <v>19</v>
      </c>
      <c r="H29" s="4" t="s">
        <v>20</v>
      </c>
      <c r="I29" s="5">
        <v>9747194</v>
      </c>
      <c r="J29" s="4" t="s">
        <v>21</v>
      </c>
      <c r="K29" s="23" t="s">
        <v>22</v>
      </c>
      <c r="L29" s="5">
        <v>4930</v>
      </c>
      <c r="M29" s="5">
        <v>4420</v>
      </c>
      <c r="N29" s="5"/>
      <c r="O29" s="4" t="s">
        <v>23</v>
      </c>
      <c r="P29" s="5">
        <v>8</v>
      </c>
      <c r="Q29" s="5">
        <v>77.94</v>
      </c>
      <c r="R29" s="5">
        <v>22</v>
      </c>
      <c r="S29" s="4" t="s">
        <v>24</v>
      </c>
    </row>
    <row r="30" spans="1:19" ht="15" customHeight="1" x14ac:dyDescent="0.25">
      <c r="A30" s="6">
        <v>187</v>
      </c>
      <c r="B30" s="6" t="s">
        <v>598</v>
      </c>
      <c r="C30" s="6" t="s">
        <v>625</v>
      </c>
      <c r="D30" s="7" t="s">
        <v>615</v>
      </c>
      <c r="E30" s="8" t="s">
        <v>454</v>
      </c>
      <c r="F30" s="9">
        <v>2018</v>
      </c>
      <c r="G30" s="8" t="s">
        <v>421</v>
      </c>
      <c r="H30" s="8" t="s">
        <v>98</v>
      </c>
      <c r="I30" s="9"/>
      <c r="J30" s="8" t="s">
        <v>73</v>
      </c>
      <c r="K30" s="24" t="s">
        <v>323</v>
      </c>
      <c r="L30" s="9"/>
      <c r="M30" s="9">
        <v>397</v>
      </c>
      <c r="N30" s="9"/>
      <c r="O30" s="8" t="s">
        <v>324</v>
      </c>
      <c r="P30" s="9">
        <v>8</v>
      </c>
      <c r="Q30" s="9">
        <v>11.7</v>
      </c>
      <c r="R30" s="9">
        <v>4.0999999999999996</v>
      </c>
      <c r="S30" s="8" t="s">
        <v>76</v>
      </c>
    </row>
    <row r="31" spans="1:19" ht="15" customHeight="1" x14ac:dyDescent="0.25">
      <c r="A31" s="6">
        <v>138</v>
      </c>
      <c r="B31" s="6" t="s">
        <v>599</v>
      </c>
      <c r="C31" s="6" t="s">
        <v>621</v>
      </c>
      <c r="D31" s="7" t="s">
        <v>354</v>
      </c>
      <c r="E31" s="8" t="s">
        <v>355</v>
      </c>
      <c r="F31" s="9">
        <v>1967</v>
      </c>
      <c r="G31" s="8" t="s">
        <v>356</v>
      </c>
      <c r="H31" s="8" t="s">
        <v>98</v>
      </c>
      <c r="I31" s="9"/>
      <c r="J31" s="8" t="s">
        <v>44</v>
      </c>
      <c r="K31" s="24" t="s">
        <v>323</v>
      </c>
      <c r="L31" s="9">
        <v>45</v>
      </c>
      <c r="M31" s="9">
        <v>220</v>
      </c>
      <c r="N31" s="9"/>
      <c r="O31" s="8" t="s">
        <v>324</v>
      </c>
      <c r="P31" s="12">
        <v>59</v>
      </c>
      <c r="Q31" s="9">
        <v>19.100000000000001</v>
      </c>
      <c r="R31" s="9">
        <v>6</v>
      </c>
      <c r="S31" s="8" t="s">
        <v>28</v>
      </c>
    </row>
    <row r="32" spans="1:19" ht="15" customHeight="1" x14ac:dyDescent="0.25">
      <c r="A32" s="6">
        <v>189</v>
      </c>
      <c r="B32" s="6" t="s">
        <v>602</v>
      </c>
      <c r="C32" s="6"/>
      <c r="D32" s="7" t="s">
        <v>457</v>
      </c>
      <c r="E32" s="8" t="s">
        <v>458</v>
      </c>
      <c r="F32" s="9">
        <v>1981</v>
      </c>
      <c r="G32" s="8" t="s">
        <v>459</v>
      </c>
      <c r="H32" s="8" t="s">
        <v>72</v>
      </c>
      <c r="I32" s="9"/>
      <c r="J32" s="8" t="s">
        <v>44</v>
      </c>
      <c r="K32" s="24" t="s">
        <v>323</v>
      </c>
      <c r="L32" s="9"/>
      <c r="M32" s="9"/>
      <c r="N32" s="9"/>
      <c r="O32" s="8" t="s">
        <v>324</v>
      </c>
      <c r="P32" s="12">
        <v>45</v>
      </c>
      <c r="Q32" s="9">
        <v>17.920000000000002</v>
      </c>
      <c r="R32" s="9">
        <v>3.96</v>
      </c>
      <c r="S32" s="8" t="s">
        <v>28</v>
      </c>
    </row>
    <row r="33" spans="1:19" ht="15" customHeight="1" x14ac:dyDescent="0.25">
      <c r="A33" s="6">
        <v>146</v>
      </c>
      <c r="B33" s="6" t="s">
        <v>599</v>
      </c>
      <c r="C33" s="6" t="s">
        <v>621</v>
      </c>
      <c r="D33" s="7" t="s">
        <v>375</v>
      </c>
      <c r="E33" s="8">
        <v>1439</v>
      </c>
      <c r="F33" s="9">
        <v>1985</v>
      </c>
      <c r="G33" s="8" t="s">
        <v>253</v>
      </c>
      <c r="H33" s="8" t="s">
        <v>72</v>
      </c>
      <c r="I33" s="9"/>
      <c r="J33" s="8" t="s">
        <v>27</v>
      </c>
      <c r="K33" s="24" t="s">
        <v>376</v>
      </c>
      <c r="L33" s="9">
        <v>35.299999999999997</v>
      </c>
      <c r="M33" s="9">
        <v>110</v>
      </c>
      <c r="N33" s="9"/>
      <c r="O33" s="8" t="s">
        <v>75</v>
      </c>
      <c r="P33" s="12">
        <v>41</v>
      </c>
      <c r="Q33" s="9">
        <v>17.37</v>
      </c>
      <c r="R33" s="9">
        <v>4</v>
      </c>
      <c r="S33" s="8" t="s">
        <v>28</v>
      </c>
    </row>
    <row r="34" spans="1:19" ht="15" customHeight="1" x14ac:dyDescent="0.25">
      <c r="A34" s="6">
        <v>88</v>
      </c>
      <c r="B34" s="6" t="s">
        <v>599</v>
      </c>
      <c r="C34" s="6" t="s">
        <v>621</v>
      </c>
      <c r="D34" s="7" t="s">
        <v>251</v>
      </c>
      <c r="E34" s="8" t="s">
        <v>252</v>
      </c>
      <c r="F34" s="9">
        <v>1985</v>
      </c>
      <c r="G34" s="8" t="s">
        <v>253</v>
      </c>
      <c r="H34" s="8" t="s">
        <v>72</v>
      </c>
      <c r="I34" s="9"/>
      <c r="J34" s="8" t="s">
        <v>27</v>
      </c>
      <c r="K34" s="32" t="s">
        <v>254</v>
      </c>
      <c r="L34" s="9">
        <v>217</v>
      </c>
      <c r="M34" s="9">
        <v>450</v>
      </c>
      <c r="N34" s="9"/>
      <c r="O34" s="8" t="s">
        <v>75</v>
      </c>
      <c r="P34" s="12">
        <v>41</v>
      </c>
      <c r="Q34" s="9">
        <v>34.35</v>
      </c>
      <c r="R34" s="9">
        <v>8</v>
      </c>
      <c r="S34" s="8" t="s">
        <v>28</v>
      </c>
    </row>
    <row r="35" spans="1:19" ht="15" customHeight="1" x14ac:dyDescent="0.25">
      <c r="A35" s="6">
        <v>153</v>
      </c>
      <c r="B35" s="6" t="s">
        <v>599</v>
      </c>
      <c r="C35" s="6" t="s">
        <v>621</v>
      </c>
      <c r="D35" s="7" t="s">
        <v>389</v>
      </c>
      <c r="E35" s="8">
        <v>1437</v>
      </c>
      <c r="F35" s="9">
        <v>1975</v>
      </c>
      <c r="G35" s="8" t="s">
        <v>253</v>
      </c>
      <c r="H35" s="8" t="s">
        <v>72</v>
      </c>
      <c r="I35" s="9"/>
      <c r="J35" s="8" t="s">
        <v>27</v>
      </c>
      <c r="K35" s="24" t="s">
        <v>390</v>
      </c>
      <c r="L35" s="9">
        <v>31</v>
      </c>
      <c r="M35" s="9">
        <v>165</v>
      </c>
      <c r="N35" s="9"/>
      <c r="O35" s="8" t="s">
        <v>75</v>
      </c>
      <c r="P35" s="12">
        <v>51</v>
      </c>
      <c r="Q35" s="9">
        <v>13.6</v>
      </c>
      <c r="R35" s="9">
        <v>4.17</v>
      </c>
      <c r="S35" s="8" t="s">
        <v>28</v>
      </c>
    </row>
    <row r="36" spans="1:19" ht="15" customHeight="1" x14ac:dyDescent="0.25">
      <c r="A36" s="6">
        <v>147</v>
      </c>
      <c r="B36" s="6" t="s">
        <v>599</v>
      </c>
      <c r="C36" s="6" t="s">
        <v>619</v>
      </c>
      <c r="D36" s="7" t="s">
        <v>377</v>
      </c>
      <c r="E36" s="8">
        <v>1439</v>
      </c>
      <c r="F36" s="9">
        <v>1984</v>
      </c>
      <c r="G36" s="8" t="s">
        <v>35</v>
      </c>
      <c r="H36" s="8" t="s">
        <v>72</v>
      </c>
      <c r="I36" s="9"/>
      <c r="J36" s="8" t="s">
        <v>154</v>
      </c>
      <c r="K36" s="24" t="s">
        <v>376</v>
      </c>
      <c r="L36" s="9">
        <v>35</v>
      </c>
      <c r="M36" s="9">
        <v>110</v>
      </c>
      <c r="N36" s="9"/>
      <c r="O36" s="8" t="s">
        <v>75</v>
      </c>
      <c r="P36" s="12">
        <v>42</v>
      </c>
      <c r="Q36" s="9">
        <v>17.37</v>
      </c>
      <c r="R36" s="9">
        <v>3.8</v>
      </c>
      <c r="S36" s="8" t="s">
        <v>65</v>
      </c>
    </row>
    <row r="37" spans="1:19" ht="15" customHeight="1" x14ac:dyDescent="0.25">
      <c r="A37" s="6">
        <v>190</v>
      </c>
      <c r="B37" s="6" t="s">
        <v>599</v>
      </c>
      <c r="C37" s="6"/>
      <c r="D37" s="7" t="s">
        <v>460</v>
      </c>
      <c r="E37" s="8" t="s">
        <v>461</v>
      </c>
      <c r="F37" s="9">
        <v>1988</v>
      </c>
      <c r="G37" s="8" t="s">
        <v>462</v>
      </c>
      <c r="H37" s="8" t="s">
        <v>72</v>
      </c>
      <c r="I37" s="9"/>
      <c r="J37" s="8" t="s">
        <v>107</v>
      </c>
      <c r="K37" s="24" t="s">
        <v>326</v>
      </c>
      <c r="L37" s="9"/>
      <c r="M37" s="9">
        <v>73.5</v>
      </c>
      <c r="N37" s="9"/>
      <c r="O37" s="8" t="s">
        <v>159</v>
      </c>
      <c r="P37" s="12">
        <v>38</v>
      </c>
      <c r="Q37" s="9">
        <v>7.85</v>
      </c>
      <c r="R37" s="9">
        <v>2.1</v>
      </c>
      <c r="S37" s="8" t="s">
        <v>110</v>
      </c>
    </row>
    <row r="38" spans="1:19" ht="15" customHeight="1" x14ac:dyDescent="0.25">
      <c r="A38" s="6">
        <v>95</v>
      </c>
      <c r="B38" s="6" t="s">
        <v>599</v>
      </c>
      <c r="C38" s="6"/>
      <c r="D38" s="7" t="s">
        <v>275</v>
      </c>
      <c r="E38" s="8" t="s">
        <v>276</v>
      </c>
      <c r="F38" s="9">
        <v>1972</v>
      </c>
      <c r="G38" s="8" t="s">
        <v>162</v>
      </c>
      <c r="H38" s="8" t="s">
        <v>72</v>
      </c>
      <c r="I38" s="9"/>
      <c r="J38" s="8" t="s">
        <v>107</v>
      </c>
      <c r="K38" s="24" t="s">
        <v>277</v>
      </c>
      <c r="L38" s="9">
        <v>153</v>
      </c>
      <c r="M38" s="9">
        <v>220</v>
      </c>
      <c r="N38" s="9"/>
      <c r="O38" s="8" t="s">
        <v>159</v>
      </c>
      <c r="P38" s="12">
        <v>54</v>
      </c>
      <c r="Q38" s="9">
        <v>27.4</v>
      </c>
      <c r="R38" s="9">
        <v>6.6</v>
      </c>
      <c r="S38" s="8" t="s">
        <v>110</v>
      </c>
    </row>
    <row r="39" spans="1:19" ht="15" customHeight="1" x14ac:dyDescent="0.25">
      <c r="A39" s="6">
        <v>96</v>
      </c>
      <c r="B39" s="6" t="s">
        <v>599</v>
      </c>
      <c r="C39" s="6" t="s">
        <v>619</v>
      </c>
      <c r="D39" s="7" t="s">
        <v>278</v>
      </c>
      <c r="E39" s="8" t="s">
        <v>279</v>
      </c>
      <c r="F39" s="9">
        <v>1981</v>
      </c>
      <c r="G39" s="8" t="s">
        <v>35</v>
      </c>
      <c r="H39" s="8" t="s">
        <v>72</v>
      </c>
      <c r="I39" s="9"/>
      <c r="J39" s="8" t="s">
        <v>154</v>
      </c>
      <c r="K39" s="24" t="s">
        <v>280</v>
      </c>
      <c r="L39" s="9">
        <v>135.6</v>
      </c>
      <c r="M39" s="9">
        <v>220</v>
      </c>
      <c r="N39" s="9"/>
      <c r="O39" s="8" t="s">
        <v>75</v>
      </c>
      <c r="P39" s="12">
        <v>45</v>
      </c>
      <c r="Q39" s="9">
        <v>20</v>
      </c>
      <c r="R39" s="9">
        <v>6.6</v>
      </c>
      <c r="S39" s="8" t="s">
        <v>65</v>
      </c>
    </row>
    <row r="40" spans="1:19" ht="15" customHeight="1" x14ac:dyDescent="0.25">
      <c r="A40" s="6">
        <v>91</v>
      </c>
      <c r="B40" s="6" t="s">
        <v>599</v>
      </c>
      <c r="C40" s="6"/>
      <c r="D40" s="7" t="s">
        <v>262</v>
      </c>
      <c r="E40" s="8" t="s">
        <v>263</v>
      </c>
      <c r="F40" s="9">
        <v>1971</v>
      </c>
      <c r="G40" s="8" t="s">
        <v>162</v>
      </c>
      <c r="H40" s="8" t="s">
        <v>72</v>
      </c>
      <c r="I40" s="9"/>
      <c r="J40" s="8" t="s">
        <v>107</v>
      </c>
      <c r="K40" s="24" t="s">
        <v>264</v>
      </c>
      <c r="L40" s="9">
        <v>162</v>
      </c>
      <c r="M40" s="9">
        <v>332</v>
      </c>
      <c r="N40" s="9"/>
      <c r="O40" s="8" t="s">
        <v>159</v>
      </c>
      <c r="P40" s="12">
        <v>55</v>
      </c>
      <c r="Q40" s="9">
        <v>28.4</v>
      </c>
      <c r="R40" s="9">
        <v>6.6</v>
      </c>
      <c r="S40" s="8" t="s">
        <v>110</v>
      </c>
    </row>
    <row r="41" spans="1:19" ht="15" customHeight="1" x14ac:dyDescent="0.25">
      <c r="A41" s="6">
        <v>154</v>
      </c>
      <c r="B41" s="6" t="s">
        <v>603</v>
      </c>
      <c r="C41" s="6" t="s">
        <v>624</v>
      </c>
      <c r="D41" s="7" t="s">
        <v>391</v>
      </c>
      <c r="E41" s="8">
        <v>522</v>
      </c>
      <c r="F41" s="9">
        <v>1954</v>
      </c>
      <c r="G41" s="8" t="s">
        <v>253</v>
      </c>
      <c r="H41" s="8" t="s">
        <v>72</v>
      </c>
      <c r="I41" s="9"/>
      <c r="J41" s="8" t="s">
        <v>125</v>
      </c>
      <c r="K41" s="24" t="s">
        <v>326</v>
      </c>
      <c r="L41" s="9">
        <v>27.5</v>
      </c>
      <c r="M41" s="9">
        <v>110</v>
      </c>
      <c r="N41" s="9"/>
      <c r="O41" s="8" t="s">
        <v>159</v>
      </c>
      <c r="P41" s="12">
        <v>72</v>
      </c>
      <c r="Q41" s="9">
        <v>17</v>
      </c>
      <c r="R41" s="9">
        <v>3.84</v>
      </c>
      <c r="S41" s="8" t="s">
        <v>76</v>
      </c>
    </row>
    <row r="42" spans="1:19" ht="15" customHeight="1" x14ac:dyDescent="0.25">
      <c r="A42" s="6">
        <v>157</v>
      </c>
      <c r="B42" s="6" t="s">
        <v>599</v>
      </c>
      <c r="C42" s="6" t="s">
        <v>619</v>
      </c>
      <c r="D42" s="7" t="s">
        <v>400</v>
      </c>
      <c r="E42" s="8" t="s">
        <v>279</v>
      </c>
      <c r="F42" s="9">
        <v>1988</v>
      </c>
      <c r="G42" s="8" t="s">
        <v>253</v>
      </c>
      <c r="H42" s="8" t="s">
        <v>72</v>
      </c>
      <c r="I42" s="9"/>
      <c r="J42" s="8" t="s">
        <v>154</v>
      </c>
      <c r="K42" s="24" t="s">
        <v>146</v>
      </c>
      <c r="L42" s="9">
        <v>24.8</v>
      </c>
      <c r="M42" s="9">
        <v>110</v>
      </c>
      <c r="N42" s="9"/>
      <c r="O42" s="8" t="s">
        <v>75</v>
      </c>
      <c r="P42" s="12">
        <v>38</v>
      </c>
      <c r="Q42" s="9">
        <v>14</v>
      </c>
      <c r="R42" s="9">
        <v>3.8</v>
      </c>
      <c r="S42" s="8" t="s">
        <v>76</v>
      </c>
    </row>
    <row r="43" spans="1:19" ht="15" customHeight="1" x14ac:dyDescent="0.25">
      <c r="A43" s="2">
        <v>27</v>
      </c>
      <c r="B43" s="2" t="s">
        <v>604</v>
      </c>
      <c r="C43" s="2"/>
      <c r="D43" s="3" t="s">
        <v>100</v>
      </c>
      <c r="E43" s="4" t="s">
        <v>101</v>
      </c>
      <c r="F43" s="5">
        <v>2013</v>
      </c>
      <c r="G43" s="4" t="s">
        <v>82</v>
      </c>
      <c r="H43" s="4" t="s">
        <v>26</v>
      </c>
      <c r="I43" s="5">
        <v>9572020</v>
      </c>
      <c r="J43" s="4" t="s">
        <v>44</v>
      </c>
      <c r="K43" s="23" t="s">
        <v>102</v>
      </c>
      <c r="L43" s="5">
        <v>2503</v>
      </c>
      <c r="M43" s="5">
        <v>3676</v>
      </c>
      <c r="N43" s="5" t="s">
        <v>103</v>
      </c>
      <c r="O43" s="4" t="s">
        <v>23</v>
      </c>
      <c r="P43" s="5">
        <v>13</v>
      </c>
      <c r="Q43" s="5">
        <v>65.5</v>
      </c>
      <c r="R43" s="5">
        <v>16</v>
      </c>
      <c r="S43" s="4" t="s">
        <v>28</v>
      </c>
    </row>
    <row r="44" spans="1:19" ht="15" customHeight="1" x14ac:dyDescent="0.25">
      <c r="A44" s="2">
        <v>7</v>
      </c>
      <c r="B44" s="2" t="s">
        <v>601</v>
      </c>
      <c r="C44" s="2" t="s">
        <v>622</v>
      </c>
      <c r="D44" s="3" t="s">
        <v>46</v>
      </c>
      <c r="E44" s="4" t="s">
        <v>47</v>
      </c>
      <c r="F44" s="5">
        <v>2015</v>
      </c>
      <c r="G44" s="4" t="s">
        <v>31</v>
      </c>
      <c r="H44" s="4" t="s">
        <v>26</v>
      </c>
      <c r="I44" s="5">
        <v>9649237</v>
      </c>
      <c r="J44" s="4" t="s">
        <v>27</v>
      </c>
      <c r="K44" s="29" t="s">
        <v>616</v>
      </c>
      <c r="L44" s="5">
        <v>3808</v>
      </c>
      <c r="M44" s="5">
        <v>9180</v>
      </c>
      <c r="N44" s="5">
        <v>87.7</v>
      </c>
      <c r="O44" s="4" t="s">
        <v>23</v>
      </c>
      <c r="P44" s="5">
        <v>11</v>
      </c>
      <c r="Q44" s="5">
        <v>76.400000000000006</v>
      </c>
      <c r="R44" s="5">
        <v>20.5</v>
      </c>
      <c r="S44" s="4" t="s">
        <v>28</v>
      </c>
    </row>
    <row r="45" spans="1:19" ht="15" customHeight="1" x14ac:dyDescent="0.25">
      <c r="A45" s="6">
        <v>191</v>
      </c>
      <c r="B45" s="6" t="s">
        <v>598</v>
      </c>
      <c r="C45" s="6"/>
      <c r="D45" s="7" t="s">
        <v>463</v>
      </c>
      <c r="E45" s="8" t="s">
        <v>414</v>
      </c>
      <c r="F45" s="9">
        <v>2013</v>
      </c>
      <c r="G45" s="8" t="s">
        <v>421</v>
      </c>
      <c r="H45" s="8" t="s">
        <v>98</v>
      </c>
      <c r="I45" s="9"/>
      <c r="J45" s="8" t="s">
        <v>73</v>
      </c>
      <c r="K45" s="24" t="s">
        <v>323</v>
      </c>
      <c r="L45" s="9"/>
      <c r="M45" s="9">
        <v>191.24</v>
      </c>
      <c r="N45" s="9"/>
      <c r="O45" s="8" t="s">
        <v>324</v>
      </c>
      <c r="P45" s="9">
        <v>13</v>
      </c>
      <c r="Q45" s="9">
        <v>8.58</v>
      </c>
      <c r="R45" s="9">
        <v>2.65</v>
      </c>
      <c r="S45" s="8" t="s">
        <v>76</v>
      </c>
    </row>
    <row r="46" spans="1:19" ht="15" customHeight="1" x14ac:dyDescent="0.25">
      <c r="A46" s="2">
        <v>12</v>
      </c>
      <c r="B46" s="2" t="s">
        <v>601</v>
      </c>
      <c r="C46" s="2" t="s">
        <v>622</v>
      </c>
      <c r="D46" s="3" t="s">
        <v>60</v>
      </c>
      <c r="E46" s="4" t="s">
        <v>61</v>
      </c>
      <c r="F46" s="5">
        <v>2019</v>
      </c>
      <c r="G46" s="4" t="s">
        <v>31</v>
      </c>
      <c r="H46" s="4" t="s">
        <v>26</v>
      </c>
      <c r="I46" s="5">
        <v>9797577</v>
      </c>
      <c r="J46" s="4" t="s">
        <v>27</v>
      </c>
      <c r="K46" s="29" t="s">
        <v>62</v>
      </c>
      <c r="L46" s="5">
        <v>3030</v>
      </c>
      <c r="M46" s="5">
        <v>5220</v>
      </c>
      <c r="N46" s="5">
        <v>49.4</v>
      </c>
      <c r="O46" s="4" t="s">
        <v>23</v>
      </c>
      <c r="P46" s="5">
        <v>7</v>
      </c>
      <c r="Q46" s="5">
        <v>79.849999999999994</v>
      </c>
      <c r="R46" s="5">
        <v>16.8</v>
      </c>
      <c r="S46" s="4" t="s">
        <v>34</v>
      </c>
    </row>
    <row r="47" spans="1:19" ht="15" customHeight="1" x14ac:dyDescent="0.25">
      <c r="A47" s="2">
        <v>13</v>
      </c>
      <c r="B47" s="2" t="s">
        <v>601</v>
      </c>
      <c r="C47" s="2" t="s">
        <v>625</v>
      </c>
      <c r="D47" s="3" t="s">
        <v>63</v>
      </c>
      <c r="E47" s="4" t="s">
        <v>61</v>
      </c>
      <c r="F47" s="5">
        <v>2021</v>
      </c>
      <c r="G47" s="4" t="s">
        <v>31</v>
      </c>
      <c r="H47" s="4" t="s">
        <v>26</v>
      </c>
      <c r="I47" s="5">
        <v>9797591</v>
      </c>
      <c r="J47" s="4" t="s">
        <v>64</v>
      </c>
      <c r="K47" s="29" t="s">
        <v>62</v>
      </c>
      <c r="L47" s="5">
        <v>3030</v>
      </c>
      <c r="M47" s="5">
        <v>5220</v>
      </c>
      <c r="N47" s="5">
        <v>47.83</v>
      </c>
      <c r="O47" s="4" t="s">
        <v>23</v>
      </c>
      <c r="P47" s="5">
        <v>5</v>
      </c>
      <c r="Q47" s="5">
        <v>79.599999999999994</v>
      </c>
      <c r="R47" s="5">
        <v>16.8</v>
      </c>
      <c r="S47" s="4" t="s">
        <v>65</v>
      </c>
    </row>
    <row r="48" spans="1:19" ht="15" customHeight="1" x14ac:dyDescent="0.25">
      <c r="A48" s="2">
        <v>3</v>
      </c>
      <c r="B48" s="2" t="s">
        <v>601</v>
      </c>
      <c r="C48" s="2" t="s">
        <v>622</v>
      </c>
      <c r="D48" s="3" t="s">
        <v>29</v>
      </c>
      <c r="E48" s="4" t="s">
        <v>30</v>
      </c>
      <c r="F48" s="5">
        <v>2015</v>
      </c>
      <c r="G48" s="4" t="s">
        <v>31</v>
      </c>
      <c r="H48" s="4" t="s">
        <v>26</v>
      </c>
      <c r="I48" s="5">
        <v>9682411</v>
      </c>
      <c r="J48" s="4" t="s">
        <v>32</v>
      </c>
      <c r="K48" s="29" t="s">
        <v>33</v>
      </c>
      <c r="L48" s="5">
        <v>4766</v>
      </c>
      <c r="M48" s="5">
        <v>12000</v>
      </c>
      <c r="N48" s="5">
        <v>88</v>
      </c>
      <c r="O48" s="4" t="s">
        <v>23</v>
      </c>
      <c r="P48" s="5">
        <v>11</v>
      </c>
      <c r="Q48" s="5">
        <v>86.97</v>
      </c>
      <c r="R48" s="5">
        <v>18.38</v>
      </c>
      <c r="S48" s="4" t="s">
        <v>34</v>
      </c>
    </row>
    <row r="49" spans="1:19" ht="15" customHeight="1" x14ac:dyDescent="0.25">
      <c r="A49" s="6">
        <v>36</v>
      </c>
      <c r="B49" s="6" t="s">
        <v>602</v>
      </c>
      <c r="C49" s="6"/>
      <c r="D49" s="7" t="s">
        <v>130</v>
      </c>
      <c r="E49" s="8">
        <v>7514</v>
      </c>
      <c r="F49" s="9">
        <v>2019</v>
      </c>
      <c r="G49" s="8" t="s">
        <v>97</v>
      </c>
      <c r="H49" s="8" t="s">
        <v>98</v>
      </c>
      <c r="I49" s="9"/>
      <c r="J49" s="8" t="s">
        <v>73</v>
      </c>
      <c r="K49" s="24" t="s">
        <v>131</v>
      </c>
      <c r="L49" s="9">
        <v>1001</v>
      </c>
      <c r="M49" s="9"/>
      <c r="N49" s="9"/>
      <c r="O49" s="8" t="s">
        <v>132</v>
      </c>
      <c r="P49" s="9">
        <v>7</v>
      </c>
      <c r="Q49" s="9">
        <v>75</v>
      </c>
      <c r="R49" s="9">
        <v>13.46</v>
      </c>
      <c r="S49" s="8" t="s">
        <v>76</v>
      </c>
    </row>
    <row r="50" spans="1:19" ht="15" customHeight="1" x14ac:dyDescent="0.25">
      <c r="A50" s="6">
        <v>37</v>
      </c>
      <c r="B50" s="6" t="s">
        <v>602</v>
      </c>
      <c r="C50" s="6"/>
      <c r="D50" s="7" t="s">
        <v>133</v>
      </c>
      <c r="E50" s="8">
        <v>7514</v>
      </c>
      <c r="F50" s="9">
        <v>2019</v>
      </c>
      <c r="G50" s="8" t="s">
        <v>97</v>
      </c>
      <c r="H50" s="8" t="s">
        <v>98</v>
      </c>
      <c r="I50" s="9"/>
      <c r="J50" s="8" t="s">
        <v>73</v>
      </c>
      <c r="K50" s="24" t="s">
        <v>131</v>
      </c>
      <c r="L50" s="9">
        <v>1001</v>
      </c>
      <c r="M50" s="9"/>
      <c r="N50" s="9"/>
      <c r="O50" s="8" t="s">
        <v>132</v>
      </c>
      <c r="P50" s="9">
        <v>7</v>
      </c>
      <c r="Q50" s="9">
        <v>75</v>
      </c>
      <c r="R50" s="9">
        <v>13.46</v>
      </c>
      <c r="S50" s="8" t="s">
        <v>76</v>
      </c>
    </row>
    <row r="51" spans="1:19" ht="15" customHeight="1" x14ac:dyDescent="0.25">
      <c r="A51" s="6">
        <v>192</v>
      </c>
      <c r="B51" s="6" t="s">
        <v>596</v>
      </c>
      <c r="C51" s="6"/>
      <c r="D51" s="7" t="s">
        <v>464</v>
      </c>
      <c r="E51" s="8" t="s">
        <v>465</v>
      </c>
      <c r="F51" s="9">
        <v>2022</v>
      </c>
      <c r="G51" s="8" t="s">
        <v>321</v>
      </c>
      <c r="H51" s="8" t="s">
        <v>322</v>
      </c>
      <c r="I51" s="9"/>
      <c r="J51" s="8" t="s">
        <v>73</v>
      </c>
      <c r="K51" s="24" t="s">
        <v>323</v>
      </c>
      <c r="L51" s="9"/>
      <c r="M51" s="9">
        <v>104.4</v>
      </c>
      <c r="N51" s="9"/>
      <c r="O51" s="8" t="s">
        <v>324</v>
      </c>
      <c r="P51" s="9">
        <v>4</v>
      </c>
      <c r="Q51" s="9">
        <v>5.25</v>
      </c>
      <c r="R51" s="9">
        <v>2.08</v>
      </c>
      <c r="S51" s="8" t="s">
        <v>76</v>
      </c>
    </row>
    <row r="52" spans="1:19" ht="15" customHeight="1" x14ac:dyDescent="0.25">
      <c r="A52" s="6">
        <v>41</v>
      </c>
      <c r="B52" s="6" t="s">
        <v>602</v>
      </c>
      <c r="C52" s="6"/>
      <c r="D52" s="7" t="s">
        <v>145</v>
      </c>
      <c r="E52" s="8">
        <v>81109</v>
      </c>
      <c r="F52" s="9">
        <v>1989</v>
      </c>
      <c r="G52" s="8" t="s">
        <v>106</v>
      </c>
      <c r="H52" s="8" t="s">
        <v>72</v>
      </c>
      <c r="I52" s="9"/>
      <c r="J52" s="8" t="s">
        <v>125</v>
      </c>
      <c r="K52" s="24" t="s">
        <v>146</v>
      </c>
      <c r="L52" s="9">
        <v>666.43</v>
      </c>
      <c r="M52" s="9"/>
      <c r="N52" s="9"/>
      <c r="O52" s="8" t="s">
        <v>75</v>
      </c>
      <c r="P52" s="12">
        <v>37</v>
      </c>
      <c r="Q52" s="9">
        <v>71.7</v>
      </c>
      <c r="R52" s="9">
        <v>14.2</v>
      </c>
      <c r="S52" s="8" t="s">
        <v>76</v>
      </c>
    </row>
    <row r="53" spans="1:19" ht="15" customHeight="1" x14ac:dyDescent="0.25">
      <c r="A53" s="6">
        <v>28</v>
      </c>
      <c r="B53" s="6" t="s">
        <v>602</v>
      </c>
      <c r="C53" s="6"/>
      <c r="D53" s="7" t="s">
        <v>104</v>
      </c>
      <c r="E53" s="8" t="s">
        <v>105</v>
      </c>
      <c r="F53" s="9">
        <v>2019</v>
      </c>
      <c r="G53" s="8" t="s">
        <v>106</v>
      </c>
      <c r="H53" s="8" t="s">
        <v>72</v>
      </c>
      <c r="I53" s="9"/>
      <c r="J53" s="8" t="s">
        <v>107</v>
      </c>
      <c r="K53" s="24" t="s">
        <v>108</v>
      </c>
      <c r="L53" s="9">
        <v>1925</v>
      </c>
      <c r="M53" s="9"/>
      <c r="N53" s="9"/>
      <c r="O53" s="8" t="s">
        <v>109</v>
      </c>
      <c r="P53" s="9">
        <v>7</v>
      </c>
      <c r="Q53" s="9">
        <v>103.2</v>
      </c>
      <c r="R53" s="9">
        <v>16.2</v>
      </c>
      <c r="S53" s="8" t="s">
        <v>110</v>
      </c>
    </row>
    <row r="54" spans="1:19" ht="15" customHeight="1" x14ac:dyDescent="0.25">
      <c r="A54" s="6">
        <v>90</v>
      </c>
      <c r="B54" s="6" t="s">
        <v>605</v>
      </c>
      <c r="C54" s="6"/>
      <c r="D54" s="7" t="s">
        <v>258</v>
      </c>
      <c r="E54" s="8">
        <v>2220</v>
      </c>
      <c r="F54" s="9">
        <v>1971</v>
      </c>
      <c r="G54" s="8" t="s">
        <v>259</v>
      </c>
      <c r="H54" s="8" t="s">
        <v>72</v>
      </c>
      <c r="I54" s="9"/>
      <c r="J54" s="8" t="s">
        <v>260</v>
      </c>
      <c r="K54" s="24" t="s">
        <v>261</v>
      </c>
      <c r="L54" s="9">
        <v>194</v>
      </c>
      <c r="M54" s="9"/>
      <c r="N54" s="9"/>
      <c r="O54" s="8" t="s">
        <v>75</v>
      </c>
      <c r="P54" s="12">
        <v>55</v>
      </c>
      <c r="Q54" s="9">
        <v>25.6</v>
      </c>
      <c r="R54" s="9">
        <v>7.9</v>
      </c>
      <c r="S54" s="8" t="s">
        <v>65</v>
      </c>
    </row>
    <row r="55" spans="1:19" ht="15" customHeight="1" x14ac:dyDescent="0.25">
      <c r="A55" s="6">
        <v>193</v>
      </c>
      <c r="B55" s="6" t="s">
        <v>596</v>
      </c>
      <c r="C55" s="6"/>
      <c r="D55" s="7" t="s">
        <v>466</v>
      </c>
      <c r="E55" s="8" t="s">
        <v>467</v>
      </c>
      <c r="F55" s="9">
        <v>2020</v>
      </c>
      <c r="G55" s="8" t="s">
        <v>468</v>
      </c>
      <c r="H55" s="8" t="s">
        <v>98</v>
      </c>
      <c r="I55" s="9"/>
      <c r="J55" s="8" t="s">
        <v>73</v>
      </c>
      <c r="K55" s="24" t="s">
        <v>323</v>
      </c>
      <c r="L55" s="9"/>
      <c r="M55" s="9">
        <v>213.3</v>
      </c>
      <c r="N55" s="9"/>
      <c r="O55" s="8" t="s">
        <v>324</v>
      </c>
      <c r="P55" s="9">
        <v>6</v>
      </c>
      <c r="Q55" s="9">
        <v>7.1</v>
      </c>
      <c r="R55" s="9">
        <v>2.5</v>
      </c>
      <c r="S55" s="8" t="s">
        <v>76</v>
      </c>
    </row>
    <row r="56" spans="1:19" ht="15" customHeight="1" x14ac:dyDescent="0.25">
      <c r="A56" s="6">
        <v>48</v>
      </c>
      <c r="B56" s="6" t="s">
        <v>602</v>
      </c>
      <c r="C56" s="6"/>
      <c r="D56" s="7" t="s">
        <v>164</v>
      </c>
      <c r="E56" s="8">
        <v>81218</v>
      </c>
      <c r="F56" s="9">
        <v>1987</v>
      </c>
      <c r="G56" s="8" t="s">
        <v>106</v>
      </c>
      <c r="H56" s="8" t="s">
        <v>72</v>
      </c>
      <c r="I56" s="9"/>
      <c r="J56" s="8" t="s">
        <v>154</v>
      </c>
      <c r="K56" s="24" t="s">
        <v>158</v>
      </c>
      <c r="L56" s="9">
        <v>459.4</v>
      </c>
      <c r="M56" s="9"/>
      <c r="N56" s="9"/>
      <c r="O56" s="8" t="s">
        <v>159</v>
      </c>
      <c r="P56" s="12">
        <v>39</v>
      </c>
      <c r="Q56" s="9">
        <v>58</v>
      </c>
      <c r="R56" s="9">
        <v>13.3</v>
      </c>
      <c r="S56" s="8" t="s">
        <v>65</v>
      </c>
    </row>
    <row r="57" spans="1:19" ht="15" customHeight="1" x14ac:dyDescent="0.25">
      <c r="A57" s="6">
        <v>108</v>
      </c>
      <c r="B57" s="6" t="s">
        <v>602</v>
      </c>
      <c r="C57" s="6"/>
      <c r="D57" s="7" t="s">
        <v>296</v>
      </c>
      <c r="E57" s="8">
        <v>81212</v>
      </c>
      <c r="F57" s="9">
        <v>1988</v>
      </c>
      <c r="G57" s="8" t="s">
        <v>106</v>
      </c>
      <c r="H57" s="8" t="s">
        <v>72</v>
      </c>
      <c r="I57" s="9"/>
      <c r="J57" s="8" t="s">
        <v>107</v>
      </c>
      <c r="K57" s="24" t="s">
        <v>158</v>
      </c>
      <c r="L57" s="9">
        <v>113</v>
      </c>
      <c r="M57" s="9"/>
      <c r="N57" s="9"/>
      <c r="O57" s="8" t="s">
        <v>159</v>
      </c>
      <c r="P57" s="12">
        <v>38</v>
      </c>
      <c r="Q57" s="9">
        <v>38.299999999999997</v>
      </c>
      <c r="R57" s="9">
        <v>8.2200000000000006</v>
      </c>
      <c r="S57" s="8" t="s">
        <v>110</v>
      </c>
    </row>
    <row r="58" spans="1:19" ht="15" customHeight="1" x14ac:dyDescent="0.25">
      <c r="A58" s="6">
        <v>67</v>
      </c>
      <c r="B58" s="6" t="s">
        <v>602</v>
      </c>
      <c r="C58" s="6"/>
      <c r="D58" s="7" t="s">
        <v>202</v>
      </c>
      <c r="E58" s="8" t="s">
        <v>203</v>
      </c>
      <c r="F58" s="9">
        <v>1986</v>
      </c>
      <c r="G58" s="8" t="s">
        <v>106</v>
      </c>
      <c r="H58" s="8" t="s">
        <v>72</v>
      </c>
      <c r="I58" s="9"/>
      <c r="J58" s="8" t="s">
        <v>154</v>
      </c>
      <c r="K58" s="24" t="s">
        <v>158</v>
      </c>
      <c r="L58" s="9">
        <v>325</v>
      </c>
      <c r="M58" s="9"/>
      <c r="N58" s="9"/>
      <c r="O58" s="8" t="s">
        <v>159</v>
      </c>
      <c r="P58" s="12">
        <v>40</v>
      </c>
      <c r="Q58" s="9">
        <v>45.1</v>
      </c>
      <c r="R58" s="9">
        <v>12</v>
      </c>
      <c r="S58" s="8" t="s">
        <v>65</v>
      </c>
    </row>
    <row r="59" spans="1:19" ht="15" customHeight="1" x14ac:dyDescent="0.25">
      <c r="A59" s="6">
        <v>46</v>
      </c>
      <c r="B59" s="6" t="s">
        <v>602</v>
      </c>
      <c r="C59" s="6"/>
      <c r="D59" s="7" t="s">
        <v>157</v>
      </c>
      <c r="E59" s="8">
        <v>81218</v>
      </c>
      <c r="F59" s="9">
        <v>1990</v>
      </c>
      <c r="G59" s="8" t="s">
        <v>106</v>
      </c>
      <c r="H59" s="8" t="s">
        <v>72</v>
      </c>
      <c r="I59" s="9"/>
      <c r="J59" s="8" t="s">
        <v>107</v>
      </c>
      <c r="K59" s="24" t="s">
        <v>158</v>
      </c>
      <c r="L59" s="9">
        <v>470</v>
      </c>
      <c r="M59" s="9"/>
      <c r="N59" s="9"/>
      <c r="O59" s="8" t="s">
        <v>159</v>
      </c>
      <c r="P59" s="12">
        <v>36</v>
      </c>
      <c r="Q59" s="9">
        <v>59.5</v>
      </c>
      <c r="R59" s="9">
        <v>13.4</v>
      </c>
      <c r="S59" s="8" t="s">
        <v>110</v>
      </c>
    </row>
    <row r="60" spans="1:19" ht="15" customHeight="1" x14ac:dyDescent="0.25">
      <c r="A60" s="6">
        <v>49</v>
      </c>
      <c r="B60" s="6" t="s">
        <v>602</v>
      </c>
      <c r="C60" s="6"/>
      <c r="D60" s="7" t="s">
        <v>165</v>
      </c>
      <c r="E60" s="8">
        <v>81218</v>
      </c>
      <c r="F60" s="9">
        <v>1990</v>
      </c>
      <c r="G60" s="8" t="s">
        <v>106</v>
      </c>
      <c r="H60" s="8" t="s">
        <v>72</v>
      </c>
      <c r="I60" s="9"/>
      <c r="J60" s="8" t="s">
        <v>107</v>
      </c>
      <c r="K60" s="24" t="s">
        <v>158</v>
      </c>
      <c r="L60" s="9">
        <v>459</v>
      </c>
      <c r="M60" s="9"/>
      <c r="N60" s="9"/>
      <c r="O60" s="8" t="s">
        <v>159</v>
      </c>
      <c r="P60" s="12">
        <v>36</v>
      </c>
      <c r="Q60" s="9">
        <v>58.32</v>
      </c>
      <c r="R60" s="9">
        <v>13.34</v>
      </c>
      <c r="S60" s="8" t="s">
        <v>110</v>
      </c>
    </row>
    <row r="61" spans="1:19" ht="15" customHeight="1" x14ac:dyDescent="0.25">
      <c r="A61" s="6">
        <v>59</v>
      </c>
      <c r="B61" s="6" t="s">
        <v>602</v>
      </c>
      <c r="C61" s="6"/>
      <c r="D61" s="7" t="s">
        <v>183</v>
      </c>
      <c r="E61" s="8">
        <v>943</v>
      </c>
      <c r="F61" s="9">
        <v>1985</v>
      </c>
      <c r="G61" s="8" t="s">
        <v>106</v>
      </c>
      <c r="H61" s="8" t="s">
        <v>72</v>
      </c>
      <c r="I61" s="9"/>
      <c r="J61" s="8" t="s">
        <v>154</v>
      </c>
      <c r="K61" s="24" t="s">
        <v>158</v>
      </c>
      <c r="L61" s="9">
        <v>424</v>
      </c>
      <c r="M61" s="9"/>
      <c r="N61" s="9"/>
      <c r="O61" s="8" t="s">
        <v>159</v>
      </c>
      <c r="P61" s="12">
        <v>41</v>
      </c>
      <c r="Q61" s="9">
        <v>58.35</v>
      </c>
      <c r="R61" s="9">
        <v>12.05</v>
      </c>
      <c r="S61" s="8" t="s">
        <v>65</v>
      </c>
    </row>
    <row r="62" spans="1:19" ht="15" customHeight="1" x14ac:dyDescent="0.25">
      <c r="A62" s="6">
        <v>68</v>
      </c>
      <c r="B62" s="6" t="s">
        <v>602</v>
      </c>
      <c r="C62" s="6"/>
      <c r="D62" s="7" t="s">
        <v>204</v>
      </c>
      <c r="E62" s="8">
        <v>81218</v>
      </c>
      <c r="F62" s="9">
        <v>1987</v>
      </c>
      <c r="G62" s="8" t="s">
        <v>106</v>
      </c>
      <c r="H62" s="8" t="s">
        <v>72</v>
      </c>
      <c r="I62" s="9"/>
      <c r="J62" s="8" t="s">
        <v>125</v>
      </c>
      <c r="K62" s="24" t="s">
        <v>158</v>
      </c>
      <c r="L62" s="9">
        <v>317.01</v>
      </c>
      <c r="M62" s="9"/>
      <c r="N62" s="9"/>
      <c r="O62" s="8" t="s">
        <v>159</v>
      </c>
      <c r="P62" s="12">
        <v>39</v>
      </c>
      <c r="Q62" s="9">
        <v>58.32</v>
      </c>
      <c r="R62" s="9">
        <v>13.26</v>
      </c>
      <c r="S62" s="8" t="s">
        <v>76</v>
      </c>
    </row>
    <row r="63" spans="1:19" ht="15" customHeight="1" x14ac:dyDescent="0.25">
      <c r="A63" s="6">
        <v>107</v>
      </c>
      <c r="B63" s="6" t="s">
        <v>602</v>
      </c>
      <c r="C63" s="6"/>
      <c r="D63" s="7" t="s">
        <v>295</v>
      </c>
      <c r="E63" s="8">
        <v>81212</v>
      </c>
      <c r="F63" s="9">
        <v>1991</v>
      </c>
      <c r="G63" s="8" t="s">
        <v>106</v>
      </c>
      <c r="H63" s="8" t="s">
        <v>72</v>
      </c>
      <c r="I63" s="9"/>
      <c r="J63" s="8" t="s">
        <v>170</v>
      </c>
      <c r="K63" s="24" t="s">
        <v>158</v>
      </c>
      <c r="L63" s="9">
        <v>113.6</v>
      </c>
      <c r="M63" s="9"/>
      <c r="N63" s="9"/>
      <c r="O63" s="8" t="s">
        <v>159</v>
      </c>
      <c r="P63" s="12">
        <v>35</v>
      </c>
      <c r="Q63" s="9">
        <v>38.340000000000003</v>
      </c>
      <c r="R63" s="9">
        <v>8.2200000000000006</v>
      </c>
      <c r="S63" s="8" t="s">
        <v>24</v>
      </c>
    </row>
    <row r="64" spans="1:19" ht="15" customHeight="1" x14ac:dyDescent="0.25">
      <c r="A64" s="6">
        <v>194</v>
      </c>
      <c r="B64" s="6" t="s">
        <v>606</v>
      </c>
      <c r="C64" s="6" t="s">
        <v>624</v>
      </c>
      <c r="D64" s="7" t="s">
        <v>469</v>
      </c>
      <c r="E64" s="8">
        <v>1606</v>
      </c>
      <c r="F64" s="9">
        <v>1979</v>
      </c>
      <c r="G64" s="8" t="s">
        <v>253</v>
      </c>
      <c r="H64" s="8" t="s">
        <v>72</v>
      </c>
      <c r="I64" s="9"/>
      <c r="J64" s="8" t="s">
        <v>470</v>
      </c>
      <c r="K64" s="24" t="s">
        <v>471</v>
      </c>
      <c r="L64" s="9"/>
      <c r="M64" s="9">
        <v>110</v>
      </c>
      <c r="N64" s="9"/>
      <c r="O64" s="8" t="s">
        <v>75</v>
      </c>
      <c r="P64" s="12">
        <v>47</v>
      </c>
      <c r="Q64" s="9">
        <v>17.3</v>
      </c>
      <c r="R64" s="9">
        <v>3.7</v>
      </c>
      <c r="S64" s="8" t="s">
        <v>76</v>
      </c>
    </row>
    <row r="65" spans="1:19" ht="15" customHeight="1" x14ac:dyDescent="0.25">
      <c r="A65" s="13">
        <v>86</v>
      </c>
      <c r="B65" s="13" t="s">
        <v>599</v>
      </c>
      <c r="C65" s="13" t="s">
        <v>621</v>
      </c>
      <c r="D65" s="14" t="s">
        <v>245</v>
      </c>
      <c r="E65" s="15" t="s">
        <v>246</v>
      </c>
      <c r="F65" s="16">
        <v>1983</v>
      </c>
      <c r="G65" s="15" t="s">
        <v>35</v>
      </c>
      <c r="H65" s="15" t="s">
        <v>98</v>
      </c>
      <c r="I65" s="16">
        <v>8227111</v>
      </c>
      <c r="J65" s="15" t="s">
        <v>27</v>
      </c>
      <c r="K65" s="31" t="s">
        <v>247</v>
      </c>
      <c r="L65" s="16">
        <v>228</v>
      </c>
      <c r="M65" s="16">
        <v>1854</v>
      </c>
      <c r="N65" s="16">
        <v>30</v>
      </c>
      <c r="O65" s="15" t="s">
        <v>109</v>
      </c>
      <c r="P65" s="12">
        <v>43</v>
      </c>
      <c r="Q65" s="16">
        <v>35.229999999999997</v>
      </c>
      <c r="R65" s="16">
        <v>9.01</v>
      </c>
      <c r="S65" s="15" t="s">
        <v>28</v>
      </c>
    </row>
    <row r="66" spans="1:19" ht="15" customHeight="1" x14ac:dyDescent="0.25">
      <c r="A66" s="6">
        <v>195</v>
      </c>
      <c r="B66" s="6" t="s">
        <v>596</v>
      </c>
      <c r="C66" s="6"/>
      <c r="D66" s="7" t="s">
        <v>472</v>
      </c>
      <c r="E66" s="8" t="s">
        <v>473</v>
      </c>
      <c r="F66" s="9">
        <v>2004</v>
      </c>
      <c r="G66" s="8" t="s">
        <v>421</v>
      </c>
      <c r="H66" s="8" t="s">
        <v>322</v>
      </c>
      <c r="I66" s="9"/>
      <c r="J66" s="8" t="s">
        <v>27</v>
      </c>
      <c r="K66" s="24" t="s">
        <v>323</v>
      </c>
      <c r="L66" s="9"/>
      <c r="M66" s="9">
        <v>29.4</v>
      </c>
      <c r="N66" s="9"/>
      <c r="O66" s="8" t="s">
        <v>474</v>
      </c>
      <c r="P66" s="9">
        <v>22</v>
      </c>
      <c r="Q66" s="9">
        <v>4.3</v>
      </c>
      <c r="R66" s="9">
        <v>2.1</v>
      </c>
      <c r="S66" s="8" t="s">
        <v>28</v>
      </c>
    </row>
    <row r="67" spans="1:19" ht="15" customHeight="1" x14ac:dyDescent="0.25">
      <c r="A67" s="6">
        <v>196</v>
      </c>
      <c r="B67" s="6" t="s">
        <v>598</v>
      </c>
      <c r="C67" s="6" t="s">
        <v>621</v>
      </c>
      <c r="D67" s="7" t="s">
        <v>475</v>
      </c>
      <c r="E67" s="8" t="s">
        <v>454</v>
      </c>
      <c r="F67" s="9">
        <v>2016</v>
      </c>
      <c r="G67" s="8" t="s">
        <v>421</v>
      </c>
      <c r="H67" s="8" t="s">
        <v>98</v>
      </c>
      <c r="I67" s="9"/>
      <c r="J67" s="8" t="s">
        <v>27</v>
      </c>
      <c r="K67" s="24" t="s">
        <v>323</v>
      </c>
      <c r="L67" s="9"/>
      <c r="M67" s="9">
        <v>442</v>
      </c>
      <c r="N67" s="9"/>
      <c r="O67" s="8" t="s">
        <v>324</v>
      </c>
      <c r="P67" s="9">
        <v>10</v>
      </c>
      <c r="Q67" s="9">
        <v>11.7</v>
      </c>
      <c r="R67" s="9">
        <v>4.0999999999999996</v>
      </c>
      <c r="S67" s="8" t="s">
        <v>28</v>
      </c>
    </row>
    <row r="68" spans="1:19" ht="15" customHeight="1" x14ac:dyDescent="0.25">
      <c r="A68" s="13">
        <v>58</v>
      </c>
      <c r="B68" s="13" t="s">
        <v>599</v>
      </c>
      <c r="C68" s="13" t="s">
        <v>626</v>
      </c>
      <c r="D68" s="14" t="s">
        <v>179</v>
      </c>
      <c r="E68" s="15" t="s">
        <v>180</v>
      </c>
      <c r="F68" s="16">
        <v>2003</v>
      </c>
      <c r="G68" s="15" t="s">
        <v>35</v>
      </c>
      <c r="H68" s="15" t="s">
        <v>181</v>
      </c>
      <c r="I68" s="16">
        <v>9309693</v>
      </c>
      <c r="J68" s="15" t="s">
        <v>21</v>
      </c>
      <c r="K68" s="31" t="s">
        <v>182</v>
      </c>
      <c r="L68" s="16">
        <v>427</v>
      </c>
      <c r="M68" s="16">
        <v>2080</v>
      </c>
      <c r="N68" s="16">
        <v>28.9</v>
      </c>
      <c r="O68" s="15" t="s">
        <v>23</v>
      </c>
      <c r="P68" s="16">
        <v>23</v>
      </c>
      <c r="Q68" s="16">
        <v>33.700000000000003</v>
      </c>
      <c r="R68" s="16">
        <v>10.6</v>
      </c>
      <c r="S68" s="15" t="s">
        <v>24</v>
      </c>
    </row>
    <row r="69" spans="1:19" ht="15" customHeight="1" x14ac:dyDescent="0.25">
      <c r="A69" s="6">
        <v>149</v>
      </c>
      <c r="B69" s="6" t="s">
        <v>607</v>
      </c>
      <c r="C69" s="6" t="s">
        <v>619</v>
      </c>
      <c r="D69" s="7" t="s">
        <v>381</v>
      </c>
      <c r="E69" s="8" t="s">
        <v>361</v>
      </c>
      <c r="F69" s="9">
        <v>1990</v>
      </c>
      <c r="G69" s="8" t="s">
        <v>382</v>
      </c>
      <c r="H69" s="8" t="s">
        <v>72</v>
      </c>
      <c r="I69" s="9"/>
      <c r="J69" s="8" t="s">
        <v>154</v>
      </c>
      <c r="K69" s="24" t="s">
        <v>155</v>
      </c>
      <c r="L69" s="9">
        <v>33</v>
      </c>
      <c r="M69" s="9">
        <v>110</v>
      </c>
      <c r="N69" s="9"/>
      <c r="O69" s="8" t="s">
        <v>75</v>
      </c>
      <c r="P69" s="12">
        <v>36</v>
      </c>
      <c r="Q69" s="9">
        <v>21</v>
      </c>
      <c r="R69" s="9">
        <v>3.98</v>
      </c>
      <c r="S69" s="8" t="s">
        <v>65</v>
      </c>
    </row>
    <row r="70" spans="1:19" ht="15" customHeight="1" x14ac:dyDescent="0.25">
      <c r="A70" s="6">
        <v>150</v>
      </c>
      <c r="B70" s="6" t="s">
        <v>607</v>
      </c>
      <c r="C70" s="6" t="s">
        <v>624</v>
      </c>
      <c r="D70" s="7" t="s">
        <v>383</v>
      </c>
      <c r="E70" s="8" t="s">
        <v>384</v>
      </c>
      <c r="F70" s="9">
        <v>1961</v>
      </c>
      <c r="G70" s="8" t="s">
        <v>382</v>
      </c>
      <c r="H70" s="8" t="s">
        <v>72</v>
      </c>
      <c r="I70" s="9"/>
      <c r="J70" s="8" t="s">
        <v>125</v>
      </c>
      <c r="K70" s="24" t="s">
        <v>155</v>
      </c>
      <c r="L70" s="9">
        <v>32.5</v>
      </c>
      <c r="M70" s="9">
        <v>110</v>
      </c>
      <c r="N70" s="9"/>
      <c r="O70" s="8" t="s">
        <v>75</v>
      </c>
      <c r="P70" s="12">
        <v>65</v>
      </c>
      <c r="Q70" s="9">
        <v>21</v>
      </c>
      <c r="R70" s="9">
        <v>3.98</v>
      </c>
      <c r="S70" s="8" t="s">
        <v>76</v>
      </c>
    </row>
    <row r="71" spans="1:19" ht="15" customHeight="1" x14ac:dyDescent="0.25">
      <c r="A71" s="6">
        <v>151</v>
      </c>
      <c r="B71" s="6" t="s">
        <v>607</v>
      </c>
      <c r="C71" s="6" t="s">
        <v>624</v>
      </c>
      <c r="D71" s="7" t="s">
        <v>385</v>
      </c>
      <c r="E71" s="8" t="s">
        <v>384</v>
      </c>
      <c r="F71" s="9">
        <v>1979</v>
      </c>
      <c r="G71" s="8" t="s">
        <v>382</v>
      </c>
      <c r="H71" s="8" t="s">
        <v>72</v>
      </c>
      <c r="I71" s="9"/>
      <c r="J71" s="8" t="s">
        <v>125</v>
      </c>
      <c r="K71" s="24" t="s">
        <v>155</v>
      </c>
      <c r="L71" s="9">
        <v>32.5</v>
      </c>
      <c r="M71" s="9">
        <v>110</v>
      </c>
      <c r="N71" s="9"/>
      <c r="O71" s="8" t="s">
        <v>75</v>
      </c>
      <c r="P71" s="12">
        <v>47</v>
      </c>
      <c r="Q71" s="9">
        <v>21</v>
      </c>
      <c r="R71" s="9">
        <v>3.98</v>
      </c>
      <c r="S71" s="8" t="s">
        <v>76</v>
      </c>
    </row>
    <row r="72" spans="1:19" ht="15" customHeight="1" x14ac:dyDescent="0.25">
      <c r="A72" s="6">
        <v>139</v>
      </c>
      <c r="B72" s="6" t="s">
        <v>607</v>
      </c>
      <c r="C72" s="6" t="s">
        <v>619</v>
      </c>
      <c r="D72" s="7" t="s">
        <v>357</v>
      </c>
      <c r="E72" s="8">
        <v>1415</v>
      </c>
      <c r="F72" s="9">
        <v>1992</v>
      </c>
      <c r="G72" s="8" t="s">
        <v>358</v>
      </c>
      <c r="H72" s="8" t="s">
        <v>72</v>
      </c>
      <c r="I72" s="9"/>
      <c r="J72" s="8" t="s">
        <v>64</v>
      </c>
      <c r="K72" s="24" t="s">
        <v>359</v>
      </c>
      <c r="L72" s="9">
        <v>42</v>
      </c>
      <c r="M72" s="9">
        <v>220</v>
      </c>
      <c r="N72" s="9"/>
      <c r="O72" s="8" t="s">
        <v>127</v>
      </c>
      <c r="P72" s="11">
        <v>34</v>
      </c>
      <c r="Q72" s="9">
        <v>20.04</v>
      </c>
      <c r="R72" s="9">
        <v>3.93</v>
      </c>
      <c r="S72" s="8" t="s">
        <v>65</v>
      </c>
    </row>
    <row r="73" spans="1:19" ht="15" customHeight="1" x14ac:dyDescent="0.25">
      <c r="A73" s="6">
        <v>133</v>
      </c>
      <c r="B73" s="6" t="s">
        <v>597</v>
      </c>
      <c r="C73" s="6" t="s">
        <v>619</v>
      </c>
      <c r="D73" s="7" t="s">
        <v>349</v>
      </c>
      <c r="E73" s="8" t="s">
        <v>346</v>
      </c>
      <c r="F73" s="9">
        <v>2011</v>
      </c>
      <c r="G73" s="8" t="s">
        <v>329</v>
      </c>
      <c r="H73" s="8" t="s">
        <v>98</v>
      </c>
      <c r="I73" s="9"/>
      <c r="J73" s="8" t="s">
        <v>64</v>
      </c>
      <c r="K73" s="32" t="s">
        <v>330</v>
      </c>
      <c r="L73" s="9">
        <v>46</v>
      </c>
      <c r="M73" s="9">
        <v>882</v>
      </c>
      <c r="N73" s="9"/>
      <c r="O73" s="8" t="s">
        <v>127</v>
      </c>
      <c r="P73" s="9">
        <v>15</v>
      </c>
      <c r="Q73" s="9">
        <v>19.899999999999999</v>
      </c>
      <c r="R73" s="9">
        <v>4.7</v>
      </c>
      <c r="S73" s="8" t="s">
        <v>65</v>
      </c>
    </row>
    <row r="74" spans="1:19" ht="15" customHeight="1" x14ac:dyDescent="0.25">
      <c r="A74" s="18">
        <v>40</v>
      </c>
      <c r="B74" s="18" t="s">
        <v>604</v>
      </c>
      <c r="C74" s="18"/>
      <c r="D74" s="19" t="s">
        <v>142</v>
      </c>
      <c r="E74" s="20">
        <v>655</v>
      </c>
      <c r="F74" s="21">
        <v>1986</v>
      </c>
      <c r="G74" s="20" t="s">
        <v>143</v>
      </c>
      <c r="H74" s="20" t="s">
        <v>98</v>
      </c>
      <c r="I74" s="21">
        <v>8422448</v>
      </c>
      <c r="J74" s="20" t="s">
        <v>37</v>
      </c>
      <c r="K74" s="26" t="s">
        <v>144</v>
      </c>
      <c r="L74" s="21">
        <v>693</v>
      </c>
      <c r="M74" s="21">
        <v>985</v>
      </c>
      <c r="N74" s="21"/>
      <c r="O74" s="20" t="s">
        <v>23</v>
      </c>
      <c r="P74" s="12">
        <v>40</v>
      </c>
      <c r="Q74" s="21">
        <v>49.9</v>
      </c>
      <c r="R74" s="21">
        <v>10</v>
      </c>
      <c r="S74" s="20" t="s">
        <v>38</v>
      </c>
    </row>
    <row r="75" spans="1:19" ht="15" customHeight="1" x14ac:dyDescent="0.25">
      <c r="A75" s="6">
        <v>134</v>
      </c>
      <c r="B75" s="6" t="s">
        <v>597</v>
      </c>
      <c r="C75" s="6" t="s">
        <v>620</v>
      </c>
      <c r="D75" s="7" t="s">
        <v>350</v>
      </c>
      <c r="E75" s="8" t="s">
        <v>346</v>
      </c>
      <c r="F75" s="9">
        <v>2010</v>
      </c>
      <c r="G75" s="8" t="s">
        <v>329</v>
      </c>
      <c r="H75" s="8" t="s">
        <v>98</v>
      </c>
      <c r="I75" s="9"/>
      <c r="J75" s="8" t="s">
        <v>37</v>
      </c>
      <c r="K75" s="32" t="s">
        <v>347</v>
      </c>
      <c r="L75" s="9">
        <v>46</v>
      </c>
      <c r="M75" s="9">
        <v>882</v>
      </c>
      <c r="N75" s="9"/>
      <c r="O75" s="8" t="s">
        <v>127</v>
      </c>
      <c r="P75" s="9">
        <v>16</v>
      </c>
      <c r="Q75" s="9">
        <v>19.899999999999999</v>
      </c>
      <c r="R75" s="9">
        <v>4.7</v>
      </c>
      <c r="S75" s="8" t="s">
        <v>38</v>
      </c>
    </row>
    <row r="76" spans="1:19" ht="15" customHeight="1" x14ac:dyDescent="0.25">
      <c r="A76" s="13">
        <v>92</v>
      </c>
      <c r="B76" s="13" t="s">
        <v>607</v>
      </c>
      <c r="C76" s="13" t="s">
        <v>621</v>
      </c>
      <c r="D76" s="14" t="s">
        <v>265</v>
      </c>
      <c r="E76" s="15" t="s">
        <v>266</v>
      </c>
      <c r="F76" s="16">
        <v>2013</v>
      </c>
      <c r="G76" s="15" t="s">
        <v>191</v>
      </c>
      <c r="H76" s="15" t="s">
        <v>98</v>
      </c>
      <c r="I76" s="16"/>
      <c r="J76" s="15" t="s">
        <v>136</v>
      </c>
      <c r="K76" s="25" t="s">
        <v>267</v>
      </c>
      <c r="L76" s="16">
        <v>162</v>
      </c>
      <c r="M76" s="16">
        <v>882</v>
      </c>
      <c r="N76" s="16"/>
      <c r="O76" s="15" t="s">
        <v>127</v>
      </c>
      <c r="P76" s="16">
        <v>13</v>
      </c>
      <c r="Q76" s="16">
        <v>28.55</v>
      </c>
      <c r="R76" s="16">
        <v>5.56</v>
      </c>
      <c r="S76" s="15" t="s">
        <v>268</v>
      </c>
    </row>
    <row r="77" spans="1:19" ht="15" customHeight="1" x14ac:dyDescent="0.25">
      <c r="A77" s="13">
        <v>98</v>
      </c>
      <c r="B77" s="13" t="s">
        <v>607</v>
      </c>
      <c r="C77" s="13" t="s">
        <v>625</v>
      </c>
      <c r="D77" s="14" t="s">
        <v>284</v>
      </c>
      <c r="E77" s="15" t="s">
        <v>266</v>
      </c>
      <c r="F77" s="16">
        <v>2010</v>
      </c>
      <c r="G77" s="15" t="s">
        <v>191</v>
      </c>
      <c r="H77" s="15" t="s">
        <v>98</v>
      </c>
      <c r="I77" s="16"/>
      <c r="J77" s="15" t="s">
        <v>73</v>
      </c>
      <c r="K77" s="25" t="s">
        <v>267</v>
      </c>
      <c r="L77" s="16">
        <v>120</v>
      </c>
      <c r="M77" s="16">
        <v>882</v>
      </c>
      <c r="N77" s="16"/>
      <c r="O77" s="15" t="s">
        <v>127</v>
      </c>
      <c r="P77" s="16">
        <v>16</v>
      </c>
      <c r="Q77" s="16">
        <v>27.2</v>
      </c>
      <c r="R77" s="16">
        <v>5.6</v>
      </c>
      <c r="S77" s="15" t="s">
        <v>76</v>
      </c>
    </row>
    <row r="78" spans="1:19" ht="15" customHeight="1" x14ac:dyDescent="0.25">
      <c r="A78" s="13">
        <v>99</v>
      </c>
      <c r="B78" s="13" t="s">
        <v>607</v>
      </c>
      <c r="C78" s="13" t="s">
        <v>622</v>
      </c>
      <c r="D78" s="14" t="s">
        <v>285</v>
      </c>
      <c r="E78" s="15" t="s">
        <v>266</v>
      </c>
      <c r="F78" s="16">
        <v>2013</v>
      </c>
      <c r="G78" s="15" t="s">
        <v>191</v>
      </c>
      <c r="H78" s="15" t="s">
        <v>98</v>
      </c>
      <c r="I78" s="16"/>
      <c r="J78" s="15" t="s">
        <v>32</v>
      </c>
      <c r="K78" s="25" t="s">
        <v>267</v>
      </c>
      <c r="L78" s="16">
        <v>120</v>
      </c>
      <c r="M78" s="16">
        <v>882</v>
      </c>
      <c r="N78" s="16"/>
      <c r="O78" s="15" t="s">
        <v>127</v>
      </c>
      <c r="P78" s="16">
        <v>13</v>
      </c>
      <c r="Q78" s="16">
        <v>28.55</v>
      </c>
      <c r="R78" s="16">
        <v>5.56</v>
      </c>
      <c r="S78" s="15" t="s">
        <v>34</v>
      </c>
    </row>
    <row r="79" spans="1:19" ht="15" customHeight="1" x14ac:dyDescent="0.25">
      <c r="A79" s="13">
        <v>100</v>
      </c>
      <c r="B79" s="13" t="s">
        <v>607</v>
      </c>
      <c r="C79" s="13" t="s">
        <v>622</v>
      </c>
      <c r="D79" s="14" t="s">
        <v>286</v>
      </c>
      <c r="E79" s="15" t="s">
        <v>266</v>
      </c>
      <c r="F79" s="16">
        <v>2013</v>
      </c>
      <c r="G79" s="15" t="s">
        <v>191</v>
      </c>
      <c r="H79" s="15" t="s">
        <v>98</v>
      </c>
      <c r="I79" s="16"/>
      <c r="J79" s="15" t="s">
        <v>32</v>
      </c>
      <c r="K79" s="25" t="s">
        <v>267</v>
      </c>
      <c r="L79" s="16">
        <v>120</v>
      </c>
      <c r="M79" s="16">
        <v>882</v>
      </c>
      <c r="N79" s="16"/>
      <c r="O79" s="15" t="s">
        <v>127</v>
      </c>
      <c r="P79" s="16">
        <v>13</v>
      </c>
      <c r="Q79" s="16">
        <v>28.55</v>
      </c>
      <c r="R79" s="16">
        <v>5.56</v>
      </c>
      <c r="S79" s="15" t="s">
        <v>34</v>
      </c>
    </row>
    <row r="80" spans="1:19" ht="15" customHeight="1" x14ac:dyDescent="0.25">
      <c r="A80" s="13">
        <v>97</v>
      </c>
      <c r="B80" s="13" t="s">
        <v>607</v>
      </c>
      <c r="C80" s="13" t="s">
        <v>619</v>
      </c>
      <c r="D80" s="14" t="s">
        <v>281</v>
      </c>
      <c r="E80" s="15" t="s">
        <v>282</v>
      </c>
      <c r="F80" s="16">
        <v>2018</v>
      </c>
      <c r="G80" s="15" t="s">
        <v>191</v>
      </c>
      <c r="H80" s="15" t="s">
        <v>98</v>
      </c>
      <c r="I80" s="16"/>
      <c r="J80" s="15" t="s">
        <v>64</v>
      </c>
      <c r="K80" s="25" t="s">
        <v>283</v>
      </c>
      <c r="L80" s="16">
        <v>121</v>
      </c>
      <c r="M80" s="16">
        <v>882</v>
      </c>
      <c r="N80" s="16"/>
      <c r="O80" s="15" t="s">
        <v>127</v>
      </c>
      <c r="P80" s="16">
        <v>8</v>
      </c>
      <c r="Q80" s="16">
        <v>28.09</v>
      </c>
      <c r="R80" s="16">
        <v>5.6</v>
      </c>
      <c r="S80" s="15" t="s">
        <v>65</v>
      </c>
    </row>
    <row r="81" spans="1:19" ht="15" customHeight="1" x14ac:dyDescent="0.25">
      <c r="A81" s="13">
        <v>101</v>
      </c>
      <c r="B81" s="13" t="s">
        <v>607</v>
      </c>
      <c r="C81" s="13" t="s">
        <v>621</v>
      </c>
      <c r="D81" s="14" t="s">
        <v>287</v>
      </c>
      <c r="E81" s="15" t="s">
        <v>266</v>
      </c>
      <c r="F81" s="16">
        <v>2010</v>
      </c>
      <c r="G81" s="15" t="s">
        <v>191</v>
      </c>
      <c r="H81" s="15" t="s">
        <v>98</v>
      </c>
      <c r="I81" s="16"/>
      <c r="J81" s="15" t="s">
        <v>27</v>
      </c>
      <c r="K81" s="25" t="s">
        <v>267</v>
      </c>
      <c r="L81" s="16">
        <v>120</v>
      </c>
      <c r="M81" s="16">
        <v>882</v>
      </c>
      <c r="N81" s="16"/>
      <c r="O81" s="15" t="s">
        <v>127</v>
      </c>
      <c r="P81" s="16">
        <v>16</v>
      </c>
      <c r="Q81" s="16">
        <v>27.2</v>
      </c>
      <c r="R81" s="16">
        <v>5.6</v>
      </c>
      <c r="S81" s="15" t="s">
        <v>28</v>
      </c>
    </row>
    <row r="82" spans="1:19" ht="15" customHeight="1" x14ac:dyDescent="0.25">
      <c r="A82" s="13">
        <v>102</v>
      </c>
      <c r="B82" s="13" t="s">
        <v>607</v>
      </c>
      <c r="C82" s="13" t="s">
        <v>619</v>
      </c>
      <c r="D82" s="14" t="s">
        <v>288</v>
      </c>
      <c r="E82" s="15" t="s">
        <v>266</v>
      </c>
      <c r="F82" s="16">
        <v>2012</v>
      </c>
      <c r="G82" s="15" t="s">
        <v>191</v>
      </c>
      <c r="H82" s="15" t="s">
        <v>98</v>
      </c>
      <c r="I82" s="16"/>
      <c r="J82" s="15" t="s">
        <v>64</v>
      </c>
      <c r="K82" s="25" t="s">
        <v>289</v>
      </c>
      <c r="L82" s="16">
        <v>120</v>
      </c>
      <c r="M82" s="16">
        <v>882</v>
      </c>
      <c r="N82" s="16"/>
      <c r="O82" s="15" t="s">
        <v>127</v>
      </c>
      <c r="P82" s="16">
        <v>14</v>
      </c>
      <c r="Q82" s="16">
        <v>28.55</v>
      </c>
      <c r="R82" s="16">
        <v>5.56</v>
      </c>
      <c r="S82" s="15" t="s">
        <v>65</v>
      </c>
    </row>
    <row r="83" spans="1:19" ht="15" customHeight="1" x14ac:dyDescent="0.25">
      <c r="A83" s="13">
        <v>103</v>
      </c>
      <c r="B83" s="13" t="s">
        <v>607</v>
      </c>
      <c r="C83" s="13" t="s">
        <v>620</v>
      </c>
      <c r="D83" s="14" t="s">
        <v>290</v>
      </c>
      <c r="E83" s="15" t="s">
        <v>266</v>
      </c>
      <c r="F83" s="16">
        <v>2010</v>
      </c>
      <c r="G83" s="15" t="s">
        <v>191</v>
      </c>
      <c r="H83" s="15" t="s">
        <v>98</v>
      </c>
      <c r="I83" s="16"/>
      <c r="J83" s="15" t="s">
        <v>37</v>
      </c>
      <c r="K83" s="25" t="s">
        <v>291</v>
      </c>
      <c r="L83" s="16">
        <v>120</v>
      </c>
      <c r="M83" s="16">
        <v>882</v>
      </c>
      <c r="N83" s="16"/>
      <c r="O83" s="15" t="s">
        <v>127</v>
      </c>
      <c r="P83" s="16">
        <v>16</v>
      </c>
      <c r="Q83" s="16">
        <v>27.2</v>
      </c>
      <c r="R83" s="16">
        <v>5.6</v>
      </c>
      <c r="S83" s="15" t="s">
        <v>38</v>
      </c>
    </row>
    <row r="84" spans="1:19" ht="15" customHeight="1" x14ac:dyDescent="0.25">
      <c r="A84" s="13">
        <v>104</v>
      </c>
      <c r="B84" s="13" t="s">
        <v>607</v>
      </c>
      <c r="C84" s="13" t="s">
        <v>620</v>
      </c>
      <c r="D84" s="14" t="s">
        <v>292</v>
      </c>
      <c r="E84" s="15" t="s">
        <v>266</v>
      </c>
      <c r="F84" s="16">
        <v>2012</v>
      </c>
      <c r="G84" s="15" t="s">
        <v>191</v>
      </c>
      <c r="H84" s="15" t="s">
        <v>98</v>
      </c>
      <c r="I84" s="16"/>
      <c r="J84" s="15" t="s">
        <v>44</v>
      </c>
      <c r="K84" s="25" t="s">
        <v>291</v>
      </c>
      <c r="L84" s="16">
        <v>120</v>
      </c>
      <c r="M84" s="16">
        <v>882</v>
      </c>
      <c r="N84" s="16"/>
      <c r="O84" s="15" t="s">
        <v>127</v>
      </c>
      <c r="P84" s="16">
        <v>14</v>
      </c>
      <c r="Q84" s="16">
        <v>28.55</v>
      </c>
      <c r="R84" s="16">
        <v>5.56</v>
      </c>
      <c r="S84" s="15" t="s">
        <v>38</v>
      </c>
    </row>
    <row r="85" spans="1:19" ht="15" customHeight="1" x14ac:dyDescent="0.25">
      <c r="A85" s="13">
        <v>105</v>
      </c>
      <c r="B85" s="13" t="s">
        <v>607</v>
      </c>
      <c r="C85" s="13" t="s">
        <v>626</v>
      </c>
      <c r="D85" s="14" t="s">
        <v>293</v>
      </c>
      <c r="E85" s="15" t="s">
        <v>266</v>
      </c>
      <c r="F85" s="16">
        <v>2011</v>
      </c>
      <c r="G85" s="15" t="s">
        <v>191</v>
      </c>
      <c r="H85" s="15" t="s">
        <v>98</v>
      </c>
      <c r="I85" s="16"/>
      <c r="J85" s="15" t="s">
        <v>21</v>
      </c>
      <c r="K85" s="25" t="s">
        <v>267</v>
      </c>
      <c r="L85" s="16">
        <v>120</v>
      </c>
      <c r="M85" s="16">
        <v>882</v>
      </c>
      <c r="N85" s="16"/>
      <c r="O85" s="15" t="s">
        <v>127</v>
      </c>
      <c r="P85" s="16">
        <v>15</v>
      </c>
      <c r="Q85" s="16">
        <v>28.55</v>
      </c>
      <c r="R85" s="16">
        <v>5.56</v>
      </c>
      <c r="S85" s="15" t="s">
        <v>24</v>
      </c>
    </row>
    <row r="86" spans="1:19" ht="15" customHeight="1" x14ac:dyDescent="0.25">
      <c r="A86" s="13">
        <v>106</v>
      </c>
      <c r="B86" s="13" t="s">
        <v>607</v>
      </c>
      <c r="C86" s="13" t="s">
        <v>621</v>
      </c>
      <c r="D86" s="14" t="s">
        <v>294</v>
      </c>
      <c r="E86" s="15" t="s">
        <v>266</v>
      </c>
      <c r="F86" s="16">
        <v>2010</v>
      </c>
      <c r="G86" s="15" t="s">
        <v>191</v>
      </c>
      <c r="H86" s="15" t="s">
        <v>98</v>
      </c>
      <c r="I86" s="16"/>
      <c r="J86" s="15" t="s">
        <v>27</v>
      </c>
      <c r="K86" s="25" t="s">
        <v>267</v>
      </c>
      <c r="L86" s="16">
        <v>120</v>
      </c>
      <c r="M86" s="16">
        <v>882</v>
      </c>
      <c r="N86" s="16"/>
      <c r="O86" s="15" t="s">
        <v>127</v>
      </c>
      <c r="P86" s="16">
        <v>16</v>
      </c>
      <c r="Q86" s="16">
        <v>27.2</v>
      </c>
      <c r="R86" s="16">
        <v>5.6</v>
      </c>
      <c r="S86" s="15" t="s">
        <v>28</v>
      </c>
    </row>
    <row r="87" spans="1:19" ht="15" customHeight="1" x14ac:dyDescent="0.25">
      <c r="A87" s="18">
        <v>113</v>
      </c>
      <c r="B87" s="18" t="s">
        <v>603</v>
      </c>
      <c r="C87" s="18" t="s">
        <v>619</v>
      </c>
      <c r="D87" s="19" t="s">
        <v>307</v>
      </c>
      <c r="E87" s="20">
        <v>522</v>
      </c>
      <c r="F87" s="21">
        <v>1960</v>
      </c>
      <c r="G87" s="20" t="s">
        <v>191</v>
      </c>
      <c r="H87" s="20" t="s">
        <v>98</v>
      </c>
      <c r="I87" s="21"/>
      <c r="J87" s="20" t="s">
        <v>64</v>
      </c>
      <c r="K87" s="26" t="s">
        <v>308</v>
      </c>
      <c r="L87" s="21">
        <v>88.3</v>
      </c>
      <c r="M87" s="21">
        <v>330</v>
      </c>
      <c r="N87" s="21"/>
      <c r="O87" s="20" t="s">
        <v>127</v>
      </c>
      <c r="P87" s="12">
        <v>66</v>
      </c>
      <c r="Q87" s="21">
        <v>28.58</v>
      </c>
      <c r="R87" s="21">
        <v>5.2</v>
      </c>
      <c r="S87" s="20" t="s">
        <v>65</v>
      </c>
    </row>
    <row r="88" spans="1:19" ht="15" customHeight="1" x14ac:dyDescent="0.25">
      <c r="A88" s="6">
        <v>158</v>
      </c>
      <c r="B88" s="6" t="s">
        <v>607</v>
      </c>
      <c r="C88" s="6" t="s">
        <v>619</v>
      </c>
      <c r="D88" s="7" t="s">
        <v>401</v>
      </c>
      <c r="E88" s="8" t="s">
        <v>361</v>
      </c>
      <c r="F88" s="9">
        <v>1984</v>
      </c>
      <c r="G88" s="8" t="s">
        <v>191</v>
      </c>
      <c r="H88" s="8" t="s">
        <v>98</v>
      </c>
      <c r="I88" s="9"/>
      <c r="J88" s="8" t="s">
        <v>64</v>
      </c>
      <c r="K88" s="24" t="s">
        <v>308</v>
      </c>
      <c r="L88" s="9">
        <v>21</v>
      </c>
      <c r="M88" s="9">
        <v>110</v>
      </c>
      <c r="N88" s="9"/>
      <c r="O88" s="8" t="s">
        <v>127</v>
      </c>
      <c r="P88" s="12">
        <v>42</v>
      </c>
      <c r="Q88" s="9">
        <v>21</v>
      </c>
      <c r="R88" s="9">
        <v>3.8</v>
      </c>
      <c r="S88" s="8" t="s">
        <v>65</v>
      </c>
    </row>
    <row r="89" spans="1:19" ht="15" customHeight="1" x14ac:dyDescent="0.25">
      <c r="A89" s="6">
        <v>159</v>
      </c>
      <c r="B89" s="6" t="s">
        <v>607</v>
      </c>
      <c r="C89" s="6" t="s">
        <v>619</v>
      </c>
      <c r="D89" s="7" t="s">
        <v>402</v>
      </c>
      <c r="E89" s="8" t="s">
        <v>361</v>
      </c>
      <c r="F89" s="9">
        <v>1986</v>
      </c>
      <c r="G89" s="8" t="s">
        <v>191</v>
      </c>
      <c r="H89" s="8" t="s">
        <v>98</v>
      </c>
      <c r="I89" s="9"/>
      <c r="J89" s="8" t="s">
        <v>64</v>
      </c>
      <c r="K89" s="24" t="s">
        <v>308</v>
      </c>
      <c r="L89" s="9">
        <v>21</v>
      </c>
      <c r="M89" s="9">
        <v>110</v>
      </c>
      <c r="N89" s="9"/>
      <c r="O89" s="8" t="s">
        <v>127</v>
      </c>
      <c r="P89" s="12">
        <v>40</v>
      </c>
      <c r="Q89" s="9">
        <v>21</v>
      </c>
      <c r="R89" s="9">
        <v>3.8</v>
      </c>
      <c r="S89" s="8" t="s">
        <v>65</v>
      </c>
    </row>
    <row r="90" spans="1:19" ht="15" customHeight="1" x14ac:dyDescent="0.25">
      <c r="A90" s="6">
        <v>2</v>
      </c>
      <c r="B90" s="6" t="s">
        <v>601</v>
      </c>
      <c r="C90" s="6" t="s">
        <v>621</v>
      </c>
      <c r="D90" s="7" t="s">
        <v>25</v>
      </c>
      <c r="E90" s="8">
        <v>23700</v>
      </c>
      <c r="F90" s="9">
        <v>2025</v>
      </c>
      <c r="G90" s="8" t="s">
        <v>19</v>
      </c>
      <c r="H90" s="8" t="s">
        <v>26</v>
      </c>
      <c r="I90" s="9">
        <v>1025978</v>
      </c>
      <c r="J90" s="8" t="s">
        <v>27</v>
      </c>
      <c r="K90" s="35" t="s">
        <v>617</v>
      </c>
      <c r="L90" s="9">
        <v>10253</v>
      </c>
      <c r="M90" s="9">
        <v>21840</v>
      </c>
      <c r="N90" s="9"/>
      <c r="O90" s="8" t="s">
        <v>23</v>
      </c>
      <c r="P90" s="9">
        <v>1</v>
      </c>
      <c r="Q90" s="9">
        <v>111.5</v>
      </c>
      <c r="R90" s="9">
        <v>24</v>
      </c>
      <c r="S90" s="8" t="s">
        <v>28</v>
      </c>
    </row>
    <row r="91" spans="1:19" ht="15" customHeight="1" x14ac:dyDescent="0.25">
      <c r="A91" s="6">
        <v>148</v>
      </c>
      <c r="B91" s="6" t="s">
        <v>607</v>
      </c>
      <c r="C91" s="6" t="s">
        <v>625</v>
      </c>
      <c r="D91" s="7" t="s">
        <v>378</v>
      </c>
      <c r="E91" s="8" t="s">
        <v>379</v>
      </c>
      <c r="F91" s="9">
        <v>1992</v>
      </c>
      <c r="G91" s="8" t="s">
        <v>191</v>
      </c>
      <c r="H91" s="8" t="s">
        <v>98</v>
      </c>
      <c r="I91" s="9"/>
      <c r="J91" s="8" t="s">
        <v>73</v>
      </c>
      <c r="K91" s="24" t="s">
        <v>380</v>
      </c>
      <c r="L91" s="9">
        <v>35</v>
      </c>
      <c r="M91" s="9">
        <v>220</v>
      </c>
      <c r="N91" s="9"/>
      <c r="O91" s="8" t="s">
        <v>127</v>
      </c>
      <c r="P91" s="11">
        <v>34</v>
      </c>
      <c r="Q91" s="9">
        <v>21.2</v>
      </c>
      <c r="R91" s="9">
        <v>3.92</v>
      </c>
      <c r="S91" s="8" t="s">
        <v>76</v>
      </c>
    </row>
    <row r="92" spans="1:19" ht="15" customHeight="1" x14ac:dyDescent="0.25">
      <c r="A92" s="6">
        <v>152</v>
      </c>
      <c r="B92" s="6" t="s">
        <v>607</v>
      </c>
      <c r="C92" s="6" t="s">
        <v>625</v>
      </c>
      <c r="D92" s="7" t="s">
        <v>386</v>
      </c>
      <c r="E92" s="8" t="s">
        <v>387</v>
      </c>
      <c r="F92" s="9">
        <v>1981</v>
      </c>
      <c r="G92" s="8" t="s">
        <v>388</v>
      </c>
      <c r="H92" s="8" t="s">
        <v>72</v>
      </c>
      <c r="I92" s="9"/>
      <c r="J92" s="8" t="s">
        <v>73</v>
      </c>
      <c r="K92" s="24" t="s">
        <v>155</v>
      </c>
      <c r="L92" s="9">
        <v>32.5</v>
      </c>
      <c r="M92" s="9">
        <v>110</v>
      </c>
      <c r="N92" s="9"/>
      <c r="O92" s="8" t="s">
        <v>75</v>
      </c>
      <c r="P92" s="12">
        <v>45</v>
      </c>
      <c r="Q92" s="9">
        <v>21</v>
      </c>
      <c r="R92" s="9">
        <v>3.98</v>
      </c>
      <c r="S92" s="8" t="s">
        <v>76</v>
      </c>
    </row>
    <row r="93" spans="1:19" ht="15" customHeight="1" x14ac:dyDescent="0.25">
      <c r="A93" s="6">
        <v>140</v>
      </c>
      <c r="B93" s="6" t="s">
        <v>607</v>
      </c>
      <c r="C93" s="6" t="s">
        <v>621</v>
      </c>
      <c r="D93" s="7" t="s">
        <v>360</v>
      </c>
      <c r="E93" s="8" t="s">
        <v>361</v>
      </c>
      <c r="F93" s="9">
        <v>1984</v>
      </c>
      <c r="G93" s="8" t="s">
        <v>362</v>
      </c>
      <c r="H93" s="8" t="s">
        <v>72</v>
      </c>
      <c r="I93" s="9"/>
      <c r="J93" s="8" t="s">
        <v>136</v>
      </c>
      <c r="K93" s="24" t="s">
        <v>158</v>
      </c>
      <c r="L93" s="9">
        <v>39.799999999999997</v>
      </c>
      <c r="M93" s="9">
        <v>110</v>
      </c>
      <c r="N93" s="9"/>
      <c r="O93" s="8" t="s">
        <v>159</v>
      </c>
      <c r="P93" s="12">
        <v>42</v>
      </c>
      <c r="Q93" s="9">
        <v>21</v>
      </c>
      <c r="R93" s="9">
        <v>3.98</v>
      </c>
      <c r="S93" s="8" t="s">
        <v>268</v>
      </c>
    </row>
    <row r="94" spans="1:19" ht="15" customHeight="1" x14ac:dyDescent="0.25">
      <c r="A94" s="6">
        <v>141</v>
      </c>
      <c r="B94" s="6" t="s">
        <v>607</v>
      </c>
      <c r="C94" s="6" t="s">
        <v>621</v>
      </c>
      <c r="D94" s="7" t="s">
        <v>363</v>
      </c>
      <c r="E94" s="8" t="s">
        <v>361</v>
      </c>
      <c r="F94" s="9">
        <v>1992</v>
      </c>
      <c r="G94" s="8" t="s">
        <v>364</v>
      </c>
      <c r="H94" s="8" t="s">
        <v>72</v>
      </c>
      <c r="I94" s="9"/>
      <c r="J94" s="8" t="s">
        <v>136</v>
      </c>
      <c r="K94" s="24" t="s">
        <v>158</v>
      </c>
      <c r="L94" s="9">
        <v>39.799999999999997</v>
      </c>
      <c r="M94" s="9">
        <v>110</v>
      </c>
      <c r="N94" s="9"/>
      <c r="O94" s="8" t="s">
        <v>159</v>
      </c>
      <c r="P94" s="11">
        <v>34</v>
      </c>
      <c r="Q94" s="9">
        <v>21</v>
      </c>
      <c r="R94" s="9">
        <v>3.98</v>
      </c>
      <c r="S94" s="8" t="s">
        <v>268</v>
      </c>
    </row>
    <row r="95" spans="1:19" ht="15" customHeight="1" x14ac:dyDescent="0.25">
      <c r="A95" s="18">
        <v>87</v>
      </c>
      <c r="B95" s="18" t="s">
        <v>599</v>
      </c>
      <c r="C95" s="18" t="s">
        <v>621</v>
      </c>
      <c r="D95" s="19" t="s">
        <v>248</v>
      </c>
      <c r="E95" s="20" t="s">
        <v>249</v>
      </c>
      <c r="F95" s="21">
        <v>1970</v>
      </c>
      <c r="G95" s="20" t="s">
        <v>35</v>
      </c>
      <c r="H95" s="20" t="s">
        <v>98</v>
      </c>
      <c r="I95" s="21">
        <v>7042100</v>
      </c>
      <c r="J95" s="20" t="s">
        <v>44</v>
      </c>
      <c r="K95" s="30" t="s">
        <v>250</v>
      </c>
      <c r="L95" s="21">
        <v>226</v>
      </c>
      <c r="M95" s="21">
        <v>640</v>
      </c>
      <c r="N95" s="21">
        <v>8.25</v>
      </c>
      <c r="O95" s="20" t="s">
        <v>109</v>
      </c>
      <c r="P95" s="12">
        <v>56</v>
      </c>
      <c r="Q95" s="21">
        <v>34.75</v>
      </c>
      <c r="R95" s="21">
        <v>8.1999999999999993</v>
      </c>
      <c r="S95" s="20" t="s">
        <v>28</v>
      </c>
    </row>
    <row r="96" spans="1:19" ht="15" customHeight="1" x14ac:dyDescent="0.25">
      <c r="A96" s="6">
        <v>135</v>
      </c>
      <c r="B96" s="6" t="s">
        <v>597</v>
      </c>
      <c r="C96" s="6" t="s">
        <v>621</v>
      </c>
      <c r="D96" s="7" t="s">
        <v>351</v>
      </c>
      <c r="E96" s="8" t="s">
        <v>346</v>
      </c>
      <c r="F96" s="9">
        <v>2010</v>
      </c>
      <c r="G96" s="8" t="s">
        <v>329</v>
      </c>
      <c r="H96" s="8" t="s">
        <v>98</v>
      </c>
      <c r="I96" s="9"/>
      <c r="J96" s="8" t="s">
        <v>136</v>
      </c>
      <c r="K96" s="32" t="s">
        <v>330</v>
      </c>
      <c r="L96" s="9">
        <v>46</v>
      </c>
      <c r="M96" s="9">
        <v>882</v>
      </c>
      <c r="N96" s="9"/>
      <c r="O96" s="8" t="s">
        <v>127</v>
      </c>
      <c r="P96" s="9">
        <v>16</v>
      </c>
      <c r="Q96" s="9">
        <v>19.899999999999999</v>
      </c>
      <c r="R96" s="9">
        <v>4.7</v>
      </c>
      <c r="S96" s="8" t="s">
        <v>268</v>
      </c>
    </row>
    <row r="97" spans="1:19" ht="15" customHeight="1" x14ac:dyDescent="0.25">
      <c r="A97" s="6">
        <v>197</v>
      </c>
      <c r="B97" s="6" t="s">
        <v>596</v>
      </c>
      <c r="C97" s="6"/>
      <c r="D97" s="7" t="s">
        <v>476</v>
      </c>
      <c r="E97" s="8" t="s">
        <v>477</v>
      </c>
      <c r="F97" s="9">
        <v>1984</v>
      </c>
      <c r="G97" s="8" t="s">
        <v>478</v>
      </c>
      <c r="H97" s="8" t="s">
        <v>322</v>
      </c>
      <c r="I97" s="9"/>
      <c r="J97" s="8" t="s">
        <v>32</v>
      </c>
      <c r="K97" s="24" t="s">
        <v>323</v>
      </c>
      <c r="L97" s="9"/>
      <c r="M97" s="9">
        <v>29.4</v>
      </c>
      <c r="N97" s="9"/>
      <c r="O97" s="8" t="s">
        <v>324</v>
      </c>
      <c r="P97" s="12">
        <v>42</v>
      </c>
      <c r="Q97" s="9">
        <v>12.25</v>
      </c>
      <c r="R97" s="9">
        <v>4</v>
      </c>
      <c r="S97" s="8" t="s">
        <v>34</v>
      </c>
    </row>
    <row r="98" spans="1:19" ht="15" customHeight="1" x14ac:dyDescent="0.25">
      <c r="A98" s="13">
        <v>82</v>
      </c>
      <c r="B98" s="13" t="s">
        <v>608</v>
      </c>
      <c r="C98" s="13" t="s">
        <v>619</v>
      </c>
      <c r="D98" s="14" t="s">
        <v>231</v>
      </c>
      <c r="E98" s="15" t="s">
        <v>232</v>
      </c>
      <c r="F98" s="16">
        <v>2021</v>
      </c>
      <c r="G98" s="15" t="s">
        <v>233</v>
      </c>
      <c r="H98" s="15" t="s">
        <v>72</v>
      </c>
      <c r="I98" s="16">
        <v>9912098</v>
      </c>
      <c r="J98" s="15" t="s">
        <v>64</v>
      </c>
      <c r="K98" s="31" t="s">
        <v>234</v>
      </c>
      <c r="L98" s="16">
        <v>276</v>
      </c>
      <c r="M98" s="16">
        <v>596</v>
      </c>
      <c r="N98" s="16"/>
      <c r="O98" s="15" t="s">
        <v>127</v>
      </c>
      <c r="P98" s="16">
        <v>5</v>
      </c>
      <c r="Q98" s="16">
        <v>34.5</v>
      </c>
      <c r="R98" s="16">
        <v>11</v>
      </c>
      <c r="S98" s="15" t="s">
        <v>65</v>
      </c>
    </row>
    <row r="99" spans="1:19" ht="15" customHeight="1" x14ac:dyDescent="0.25">
      <c r="A99" s="6">
        <v>118</v>
      </c>
      <c r="B99" s="6" t="s">
        <v>599</v>
      </c>
      <c r="C99" s="6" t="s">
        <v>623</v>
      </c>
      <c r="D99" s="7" t="s">
        <v>317</v>
      </c>
      <c r="E99" s="8">
        <v>1496</v>
      </c>
      <c r="F99" s="9">
        <v>1975</v>
      </c>
      <c r="G99" s="8" t="s">
        <v>35</v>
      </c>
      <c r="H99" s="8" t="s">
        <v>98</v>
      </c>
      <c r="I99" s="9"/>
      <c r="J99" s="8" t="s">
        <v>210</v>
      </c>
      <c r="K99" s="32" t="s">
        <v>318</v>
      </c>
      <c r="L99" s="9">
        <v>72</v>
      </c>
      <c r="M99" s="9">
        <v>232</v>
      </c>
      <c r="N99" s="9"/>
      <c r="O99" s="8" t="s">
        <v>141</v>
      </c>
      <c r="P99" s="12">
        <v>51</v>
      </c>
      <c r="Q99" s="9">
        <v>23.4</v>
      </c>
      <c r="R99" s="9">
        <v>5.7</v>
      </c>
      <c r="S99" s="8" t="s">
        <v>212</v>
      </c>
    </row>
    <row r="100" spans="1:19" ht="15" customHeight="1" x14ac:dyDescent="0.25">
      <c r="A100" s="13">
        <v>112</v>
      </c>
      <c r="B100" s="13" t="s">
        <v>599</v>
      </c>
      <c r="C100" s="13" t="s">
        <v>619</v>
      </c>
      <c r="D100" s="14" t="s">
        <v>304</v>
      </c>
      <c r="E100" s="15" t="s">
        <v>305</v>
      </c>
      <c r="F100" s="16">
        <v>1988</v>
      </c>
      <c r="G100" s="15" t="s">
        <v>35</v>
      </c>
      <c r="H100" s="15" t="s">
        <v>98</v>
      </c>
      <c r="I100" s="16"/>
      <c r="J100" s="15" t="s">
        <v>64</v>
      </c>
      <c r="K100" s="31" t="s">
        <v>306</v>
      </c>
      <c r="L100" s="16">
        <v>91</v>
      </c>
      <c r="M100" s="16">
        <v>596</v>
      </c>
      <c r="N100" s="16"/>
      <c r="O100" s="15" t="s">
        <v>127</v>
      </c>
      <c r="P100" s="12">
        <v>38</v>
      </c>
      <c r="Q100" s="16">
        <v>20.45</v>
      </c>
      <c r="R100" s="16">
        <v>6</v>
      </c>
      <c r="S100" s="15" t="s">
        <v>65</v>
      </c>
    </row>
    <row r="101" spans="1:19" ht="15" customHeight="1" x14ac:dyDescent="0.25">
      <c r="A101" s="6">
        <v>136</v>
      </c>
      <c r="B101" s="6" t="s">
        <v>597</v>
      </c>
      <c r="C101" s="6" t="s">
        <v>621</v>
      </c>
      <c r="D101" s="7" t="s">
        <v>352</v>
      </c>
      <c r="E101" s="8" t="s">
        <v>346</v>
      </c>
      <c r="F101" s="9">
        <v>2011</v>
      </c>
      <c r="G101" s="8" t="s">
        <v>329</v>
      </c>
      <c r="H101" s="8" t="s">
        <v>98</v>
      </c>
      <c r="I101" s="9"/>
      <c r="J101" s="8" t="s">
        <v>27</v>
      </c>
      <c r="K101" s="32" t="s">
        <v>330</v>
      </c>
      <c r="L101" s="9">
        <v>46</v>
      </c>
      <c r="M101" s="9">
        <v>882</v>
      </c>
      <c r="N101" s="9"/>
      <c r="O101" s="8" t="s">
        <v>127</v>
      </c>
      <c r="P101" s="9">
        <v>15</v>
      </c>
      <c r="Q101" s="9">
        <v>19.899999999999999</v>
      </c>
      <c r="R101" s="9">
        <v>4.7</v>
      </c>
      <c r="S101" s="8" t="s">
        <v>28</v>
      </c>
    </row>
    <row r="102" spans="1:19" ht="15" customHeight="1" x14ac:dyDescent="0.25">
      <c r="A102" s="13">
        <v>115</v>
      </c>
      <c r="B102" s="13" t="s">
        <v>599</v>
      </c>
      <c r="C102" s="13" t="s">
        <v>619</v>
      </c>
      <c r="D102" s="14" t="s">
        <v>312</v>
      </c>
      <c r="E102" s="15">
        <v>1496</v>
      </c>
      <c r="F102" s="16">
        <v>1982</v>
      </c>
      <c r="G102" s="15" t="s">
        <v>35</v>
      </c>
      <c r="H102" s="15" t="s">
        <v>98</v>
      </c>
      <c r="I102" s="16"/>
      <c r="J102" s="15" t="s">
        <v>64</v>
      </c>
      <c r="K102" s="31" t="s">
        <v>313</v>
      </c>
      <c r="L102" s="16">
        <v>78</v>
      </c>
      <c r="M102" s="16">
        <v>233</v>
      </c>
      <c r="N102" s="16"/>
      <c r="O102" s="15" t="s">
        <v>109</v>
      </c>
      <c r="P102" s="12">
        <v>44</v>
      </c>
      <c r="Q102" s="16">
        <v>23.4</v>
      </c>
      <c r="R102" s="16">
        <v>5.7</v>
      </c>
      <c r="S102" s="15" t="s">
        <v>65</v>
      </c>
    </row>
    <row r="103" spans="1:19" ht="15" customHeight="1" x14ac:dyDescent="0.25">
      <c r="A103" s="13">
        <v>116</v>
      </c>
      <c r="B103" s="13" t="s">
        <v>599</v>
      </c>
      <c r="C103" s="13" t="s">
        <v>619</v>
      </c>
      <c r="D103" s="14" t="s">
        <v>314</v>
      </c>
      <c r="E103" s="15">
        <v>1496</v>
      </c>
      <c r="F103" s="16">
        <v>1984</v>
      </c>
      <c r="G103" s="15" t="s">
        <v>35</v>
      </c>
      <c r="H103" s="15" t="s">
        <v>98</v>
      </c>
      <c r="I103" s="16"/>
      <c r="J103" s="15" t="s">
        <v>64</v>
      </c>
      <c r="K103" s="31" t="s">
        <v>313</v>
      </c>
      <c r="L103" s="16">
        <v>78</v>
      </c>
      <c r="M103" s="16">
        <v>232</v>
      </c>
      <c r="N103" s="16"/>
      <c r="O103" s="15" t="s">
        <v>109</v>
      </c>
      <c r="P103" s="12">
        <v>42</v>
      </c>
      <c r="Q103" s="16">
        <v>23.4</v>
      </c>
      <c r="R103" s="16">
        <v>5.7</v>
      </c>
      <c r="S103" s="15" t="s">
        <v>65</v>
      </c>
    </row>
    <row r="104" spans="1:19" ht="15" customHeight="1" x14ac:dyDescent="0.25">
      <c r="A104" s="13">
        <v>39</v>
      </c>
      <c r="B104" s="13" t="s">
        <v>604</v>
      </c>
      <c r="C104" s="13"/>
      <c r="D104" s="14" t="s">
        <v>138</v>
      </c>
      <c r="E104" s="15" t="s">
        <v>139</v>
      </c>
      <c r="F104" s="16">
        <v>2017</v>
      </c>
      <c r="G104" s="15" t="s">
        <v>19</v>
      </c>
      <c r="H104" s="15" t="s">
        <v>26</v>
      </c>
      <c r="I104" s="16">
        <v>9824021</v>
      </c>
      <c r="J104" s="15" t="s">
        <v>27</v>
      </c>
      <c r="K104" s="25" t="s">
        <v>140</v>
      </c>
      <c r="L104" s="16">
        <v>761</v>
      </c>
      <c r="M104" s="16">
        <v>1268</v>
      </c>
      <c r="N104" s="16"/>
      <c r="O104" s="15" t="s">
        <v>141</v>
      </c>
      <c r="P104" s="16">
        <v>9</v>
      </c>
      <c r="Q104" s="16">
        <v>46.2</v>
      </c>
      <c r="R104" s="16">
        <v>13.5</v>
      </c>
      <c r="S104" s="15" t="s">
        <v>28</v>
      </c>
    </row>
    <row r="105" spans="1:19" ht="15" customHeight="1" x14ac:dyDescent="0.25">
      <c r="A105" s="13">
        <v>81</v>
      </c>
      <c r="B105" s="13" t="s">
        <v>604</v>
      </c>
      <c r="C105" s="13"/>
      <c r="D105" s="14" t="s">
        <v>228</v>
      </c>
      <c r="E105" s="15" t="s">
        <v>229</v>
      </c>
      <c r="F105" s="16">
        <v>1982</v>
      </c>
      <c r="G105" s="15" t="s">
        <v>143</v>
      </c>
      <c r="H105" s="15" t="s">
        <v>98</v>
      </c>
      <c r="I105" s="16">
        <v>8038077</v>
      </c>
      <c r="J105" s="15" t="s">
        <v>64</v>
      </c>
      <c r="K105" s="25" t="s">
        <v>230</v>
      </c>
      <c r="L105" s="16">
        <v>280</v>
      </c>
      <c r="M105" s="16">
        <v>440</v>
      </c>
      <c r="N105" s="16"/>
      <c r="O105" s="15" t="s">
        <v>141</v>
      </c>
      <c r="P105" s="12">
        <v>44</v>
      </c>
      <c r="Q105" s="16">
        <v>41</v>
      </c>
      <c r="R105" s="16">
        <v>8</v>
      </c>
      <c r="S105" s="15" t="s">
        <v>65</v>
      </c>
    </row>
    <row r="106" spans="1:19" ht="15" customHeight="1" x14ac:dyDescent="0.25">
      <c r="A106" s="6">
        <v>198</v>
      </c>
      <c r="B106" s="6" t="s">
        <v>596</v>
      </c>
      <c r="C106" s="6"/>
      <c r="D106" s="7" t="s">
        <v>479</v>
      </c>
      <c r="E106" s="8" t="s">
        <v>480</v>
      </c>
      <c r="F106" s="9">
        <v>2023</v>
      </c>
      <c r="G106" s="8" t="s">
        <v>421</v>
      </c>
      <c r="H106" s="8" t="s">
        <v>98</v>
      </c>
      <c r="I106" s="9"/>
      <c r="J106" s="8" t="s">
        <v>32</v>
      </c>
      <c r="K106" s="10" t="s">
        <v>323</v>
      </c>
      <c r="L106" s="9"/>
      <c r="M106" s="9"/>
      <c r="N106" s="9"/>
      <c r="O106" s="8" t="s">
        <v>324</v>
      </c>
      <c r="P106" s="9">
        <v>3</v>
      </c>
      <c r="Q106" s="9">
        <v>11.99</v>
      </c>
      <c r="R106" s="9">
        <v>3.6</v>
      </c>
      <c r="S106" s="8" t="s">
        <v>34</v>
      </c>
    </row>
    <row r="107" spans="1:19" ht="15" customHeight="1" x14ac:dyDescent="0.25">
      <c r="A107" s="6">
        <v>119</v>
      </c>
      <c r="B107" s="6" t="s">
        <v>596</v>
      </c>
      <c r="C107" s="6"/>
      <c r="D107" s="7" t="s">
        <v>319</v>
      </c>
      <c r="E107" s="8" t="s">
        <v>320</v>
      </c>
      <c r="F107" s="9">
        <v>2005</v>
      </c>
      <c r="G107" s="8" t="s">
        <v>321</v>
      </c>
      <c r="H107" s="8" t="s">
        <v>322</v>
      </c>
      <c r="I107" s="9"/>
      <c r="J107" s="8" t="s">
        <v>136</v>
      </c>
      <c r="K107" s="24" t="s">
        <v>323</v>
      </c>
      <c r="L107" s="9">
        <v>65</v>
      </c>
      <c r="M107" s="9">
        <v>29.4</v>
      </c>
      <c r="N107" s="9"/>
      <c r="O107" s="8" t="s">
        <v>324</v>
      </c>
      <c r="P107" s="9">
        <v>21</v>
      </c>
      <c r="Q107" s="9">
        <v>4.5</v>
      </c>
      <c r="R107" s="9">
        <v>2</v>
      </c>
      <c r="S107" s="8" t="s">
        <v>268</v>
      </c>
    </row>
    <row r="108" spans="1:19" ht="15" customHeight="1" x14ac:dyDescent="0.25">
      <c r="A108" s="6">
        <v>137</v>
      </c>
      <c r="B108" s="6" t="s">
        <v>596</v>
      </c>
      <c r="C108" s="6"/>
      <c r="D108" s="7" t="s">
        <v>353</v>
      </c>
      <c r="E108" s="8" t="s">
        <v>320</v>
      </c>
      <c r="F108" s="9">
        <v>2009</v>
      </c>
      <c r="G108" s="8" t="s">
        <v>321</v>
      </c>
      <c r="H108" s="8" t="s">
        <v>322</v>
      </c>
      <c r="I108" s="9"/>
      <c r="J108" s="8" t="s">
        <v>136</v>
      </c>
      <c r="K108" s="24" t="s">
        <v>323</v>
      </c>
      <c r="L108" s="9">
        <v>46</v>
      </c>
      <c r="M108" s="9">
        <v>29.4</v>
      </c>
      <c r="N108" s="9"/>
      <c r="O108" s="8" t="s">
        <v>324</v>
      </c>
      <c r="P108" s="9">
        <v>17</v>
      </c>
      <c r="Q108" s="9">
        <v>4.5</v>
      </c>
      <c r="R108" s="9">
        <v>2</v>
      </c>
      <c r="S108" s="8" t="s">
        <v>268</v>
      </c>
    </row>
    <row r="109" spans="1:19" ht="15" customHeight="1" x14ac:dyDescent="0.25">
      <c r="A109" s="2">
        <v>14</v>
      </c>
      <c r="B109" s="2" t="s">
        <v>601</v>
      </c>
      <c r="C109" s="2" t="s">
        <v>622</v>
      </c>
      <c r="D109" s="3" t="s">
        <v>66</v>
      </c>
      <c r="E109" s="4" t="s">
        <v>61</v>
      </c>
      <c r="F109" s="5">
        <v>2019</v>
      </c>
      <c r="G109" s="4" t="s">
        <v>31</v>
      </c>
      <c r="H109" s="4" t="s">
        <v>26</v>
      </c>
      <c r="I109" s="5">
        <v>9797589</v>
      </c>
      <c r="J109" s="4" t="s">
        <v>32</v>
      </c>
      <c r="K109" s="29" t="s">
        <v>67</v>
      </c>
      <c r="L109" s="5">
        <v>3030</v>
      </c>
      <c r="M109" s="5">
        <v>5200</v>
      </c>
      <c r="N109" s="5">
        <v>50.64</v>
      </c>
      <c r="O109" s="4" t="s">
        <v>23</v>
      </c>
      <c r="P109" s="5">
        <v>7</v>
      </c>
      <c r="Q109" s="5">
        <v>79.849999999999994</v>
      </c>
      <c r="R109" s="5">
        <v>16.8</v>
      </c>
      <c r="S109" s="4" t="s">
        <v>34</v>
      </c>
    </row>
    <row r="110" spans="1:19" ht="15" customHeight="1" x14ac:dyDescent="0.25">
      <c r="A110" s="6">
        <v>122</v>
      </c>
      <c r="B110" s="6" t="s">
        <v>597</v>
      </c>
      <c r="C110" s="6" t="s">
        <v>626</v>
      </c>
      <c r="D110" s="7" t="s">
        <v>331</v>
      </c>
      <c r="E110" s="8" t="s">
        <v>328</v>
      </c>
      <c r="F110" s="9">
        <v>2018</v>
      </c>
      <c r="G110" s="8" t="s">
        <v>329</v>
      </c>
      <c r="H110" s="8" t="s">
        <v>98</v>
      </c>
      <c r="I110" s="9"/>
      <c r="J110" s="8" t="s">
        <v>21</v>
      </c>
      <c r="K110" s="32" t="s">
        <v>330</v>
      </c>
      <c r="L110" s="9">
        <v>56</v>
      </c>
      <c r="M110" s="9">
        <v>1176</v>
      </c>
      <c r="N110" s="9"/>
      <c r="O110" s="8" t="s">
        <v>127</v>
      </c>
      <c r="P110" s="9">
        <v>8</v>
      </c>
      <c r="Q110" s="9">
        <v>19.829999999999998</v>
      </c>
      <c r="R110" s="9">
        <v>5</v>
      </c>
      <c r="S110" s="8" t="s">
        <v>24</v>
      </c>
    </row>
    <row r="111" spans="1:19" ht="15" customHeight="1" x14ac:dyDescent="0.25">
      <c r="A111" s="6">
        <v>123</v>
      </c>
      <c r="B111" s="6" t="s">
        <v>597</v>
      </c>
      <c r="C111" s="6" t="s">
        <v>626</v>
      </c>
      <c r="D111" s="7" t="s">
        <v>332</v>
      </c>
      <c r="E111" s="8" t="s">
        <v>328</v>
      </c>
      <c r="F111" s="9">
        <v>2018</v>
      </c>
      <c r="G111" s="8" t="s">
        <v>329</v>
      </c>
      <c r="H111" s="8" t="s">
        <v>98</v>
      </c>
      <c r="I111" s="9"/>
      <c r="J111" s="8" t="s">
        <v>21</v>
      </c>
      <c r="K111" s="32" t="s">
        <v>330</v>
      </c>
      <c r="L111" s="9">
        <v>56</v>
      </c>
      <c r="M111" s="9">
        <v>1176</v>
      </c>
      <c r="N111" s="9"/>
      <c r="O111" s="8" t="s">
        <v>127</v>
      </c>
      <c r="P111" s="9">
        <v>8</v>
      </c>
      <c r="Q111" s="9">
        <v>19.829999999999998</v>
      </c>
      <c r="R111" s="9">
        <v>5</v>
      </c>
      <c r="S111" s="8" t="s">
        <v>24</v>
      </c>
    </row>
    <row r="112" spans="1:19" ht="15" customHeight="1" x14ac:dyDescent="0.25">
      <c r="A112" s="2">
        <v>32</v>
      </c>
      <c r="B112" s="2" t="s">
        <v>609</v>
      </c>
      <c r="C112" s="2" t="s">
        <v>620</v>
      </c>
      <c r="D112" s="3" t="s">
        <v>117</v>
      </c>
      <c r="E112" s="4">
        <v>1454</v>
      </c>
      <c r="F112" s="5">
        <v>1985</v>
      </c>
      <c r="G112" s="4" t="s">
        <v>113</v>
      </c>
      <c r="H112" s="4" t="s">
        <v>26</v>
      </c>
      <c r="I112" s="5">
        <v>8724080</v>
      </c>
      <c r="J112" s="4" t="s">
        <v>37</v>
      </c>
      <c r="K112" s="29" t="s">
        <v>118</v>
      </c>
      <c r="L112" s="5">
        <v>1160</v>
      </c>
      <c r="M112" s="5">
        <v>2200</v>
      </c>
      <c r="N112" s="5">
        <v>23</v>
      </c>
      <c r="O112" s="4" t="s">
        <v>23</v>
      </c>
      <c r="P112" s="12">
        <v>41</v>
      </c>
      <c r="Q112" s="5">
        <v>58.55</v>
      </c>
      <c r="R112" s="5">
        <v>12.23</v>
      </c>
      <c r="S112" s="4" t="s">
        <v>38</v>
      </c>
    </row>
    <row r="113" spans="1:19" ht="15" customHeight="1" x14ac:dyDescent="0.25">
      <c r="A113" s="2">
        <v>18</v>
      </c>
      <c r="B113" s="2" t="s">
        <v>609</v>
      </c>
      <c r="C113" s="2" t="s">
        <v>626</v>
      </c>
      <c r="D113" s="3" t="s">
        <v>81</v>
      </c>
      <c r="E113" s="4" t="s">
        <v>78</v>
      </c>
      <c r="F113" s="5">
        <v>1987</v>
      </c>
      <c r="G113" s="4" t="s">
        <v>82</v>
      </c>
      <c r="H113" s="4" t="s">
        <v>26</v>
      </c>
      <c r="I113" s="5">
        <v>8418435</v>
      </c>
      <c r="J113" s="4" t="s">
        <v>37</v>
      </c>
      <c r="K113" s="29" t="s">
        <v>83</v>
      </c>
      <c r="L113" s="5">
        <v>2723</v>
      </c>
      <c r="M113" s="5">
        <v>5300</v>
      </c>
      <c r="N113" s="5">
        <v>82.8</v>
      </c>
      <c r="O113" s="4" t="s">
        <v>23</v>
      </c>
      <c r="P113" s="12">
        <v>39</v>
      </c>
      <c r="Q113" s="5">
        <v>81.37</v>
      </c>
      <c r="R113" s="5">
        <v>15.96</v>
      </c>
      <c r="S113" s="4" t="s">
        <v>38</v>
      </c>
    </row>
    <row r="114" spans="1:19" ht="15" customHeight="1" x14ac:dyDescent="0.25">
      <c r="A114" s="6">
        <v>124</v>
      </c>
      <c r="B114" s="6" t="s">
        <v>597</v>
      </c>
      <c r="C114" s="6" t="s">
        <v>623</v>
      </c>
      <c r="D114" s="7" t="s">
        <v>333</v>
      </c>
      <c r="E114" s="8" t="s">
        <v>328</v>
      </c>
      <c r="F114" s="9">
        <v>2017</v>
      </c>
      <c r="G114" s="8" t="s">
        <v>329</v>
      </c>
      <c r="H114" s="8" t="s">
        <v>98</v>
      </c>
      <c r="I114" s="9"/>
      <c r="J114" s="8" t="s">
        <v>32</v>
      </c>
      <c r="K114" s="32" t="s">
        <v>330</v>
      </c>
      <c r="L114" s="9">
        <v>56</v>
      </c>
      <c r="M114" s="9">
        <v>1176</v>
      </c>
      <c r="N114" s="9"/>
      <c r="O114" s="8" t="s">
        <v>127</v>
      </c>
      <c r="P114" s="9">
        <v>9</v>
      </c>
      <c r="Q114" s="9">
        <v>19.82</v>
      </c>
      <c r="R114" s="9">
        <v>5</v>
      </c>
      <c r="S114" s="8" t="s">
        <v>212</v>
      </c>
    </row>
    <row r="115" spans="1:19" ht="15" customHeight="1" x14ac:dyDescent="0.25">
      <c r="A115" s="6">
        <v>125</v>
      </c>
      <c r="B115" s="6" t="s">
        <v>597</v>
      </c>
      <c r="C115" s="6" t="s">
        <v>622</v>
      </c>
      <c r="D115" s="7" t="s">
        <v>334</v>
      </c>
      <c r="E115" s="8" t="s">
        <v>328</v>
      </c>
      <c r="F115" s="9">
        <v>2016</v>
      </c>
      <c r="G115" s="8" t="s">
        <v>329</v>
      </c>
      <c r="H115" s="8" t="s">
        <v>98</v>
      </c>
      <c r="I115" s="9"/>
      <c r="J115" s="8" t="s">
        <v>32</v>
      </c>
      <c r="K115" s="32" t="s">
        <v>330</v>
      </c>
      <c r="L115" s="9">
        <v>56</v>
      </c>
      <c r="M115" s="9">
        <v>1176</v>
      </c>
      <c r="N115" s="9"/>
      <c r="O115" s="8" t="s">
        <v>127</v>
      </c>
      <c r="P115" s="9">
        <v>10</v>
      </c>
      <c r="Q115" s="9">
        <v>20.97</v>
      </c>
      <c r="R115" s="9">
        <v>5</v>
      </c>
      <c r="S115" s="8" t="s">
        <v>34</v>
      </c>
    </row>
    <row r="116" spans="1:19" ht="15" customHeight="1" x14ac:dyDescent="0.25">
      <c r="A116" s="6">
        <v>199</v>
      </c>
      <c r="B116" s="6" t="s">
        <v>597</v>
      </c>
      <c r="C116" s="6" t="s">
        <v>621</v>
      </c>
      <c r="D116" s="7" t="s">
        <v>481</v>
      </c>
      <c r="E116" s="8" t="s">
        <v>482</v>
      </c>
      <c r="F116" s="9">
        <v>2004</v>
      </c>
      <c r="G116" s="8" t="s">
        <v>329</v>
      </c>
      <c r="H116" s="8" t="s">
        <v>98</v>
      </c>
      <c r="I116" s="9"/>
      <c r="J116" s="8" t="s">
        <v>27</v>
      </c>
      <c r="K116" s="32" t="s">
        <v>323</v>
      </c>
      <c r="L116" s="9"/>
      <c r="M116" s="9">
        <v>220</v>
      </c>
      <c r="N116" s="9"/>
      <c r="O116" s="8" t="s">
        <v>324</v>
      </c>
      <c r="P116" s="9">
        <v>22</v>
      </c>
      <c r="Q116" s="9">
        <v>9</v>
      </c>
      <c r="R116" s="9">
        <v>3.01</v>
      </c>
      <c r="S116" s="8" t="s">
        <v>28</v>
      </c>
    </row>
    <row r="117" spans="1:19" ht="15" customHeight="1" x14ac:dyDescent="0.25">
      <c r="A117" s="6">
        <v>200</v>
      </c>
      <c r="B117" s="6" t="s">
        <v>597</v>
      </c>
      <c r="C117" s="6" t="s">
        <v>621</v>
      </c>
      <c r="D117" s="7" t="s">
        <v>483</v>
      </c>
      <c r="E117" s="8" t="s">
        <v>484</v>
      </c>
      <c r="F117" s="9">
        <v>2007</v>
      </c>
      <c r="G117" s="8" t="s">
        <v>329</v>
      </c>
      <c r="H117" s="8" t="s">
        <v>98</v>
      </c>
      <c r="I117" s="9"/>
      <c r="J117" s="8" t="s">
        <v>27</v>
      </c>
      <c r="K117" s="32" t="s">
        <v>323</v>
      </c>
      <c r="L117" s="9"/>
      <c r="M117" s="9">
        <v>160.30000000000001</v>
      </c>
      <c r="N117" s="9"/>
      <c r="O117" s="8" t="s">
        <v>485</v>
      </c>
      <c r="P117" s="9">
        <v>19</v>
      </c>
      <c r="Q117" s="9">
        <v>8</v>
      </c>
      <c r="R117" s="9">
        <v>2.68</v>
      </c>
      <c r="S117" s="8" t="s">
        <v>28</v>
      </c>
    </row>
    <row r="118" spans="1:19" ht="15" customHeight="1" x14ac:dyDescent="0.25">
      <c r="A118" s="6">
        <v>201</v>
      </c>
      <c r="B118" s="6" t="s">
        <v>597</v>
      </c>
      <c r="C118" s="6" t="s">
        <v>621</v>
      </c>
      <c r="D118" s="7" t="s">
        <v>486</v>
      </c>
      <c r="E118" s="8" t="s">
        <v>484</v>
      </c>
      <c r="F118" s="9">
        <v>2015</v>
      </c>
      <c r="G118" s="8" t="s">
        <v>329</v>
      </c>
      <c r="H118" s="8" t="s">
        <v>98</v>
      </c>
      <c r="I118" s="9"/>
      <c r="J118" s="8" t="s">
        <v>27</v>
      </c>
      <c r="K118" s="32" t="s">
        <v>323</v>
      </c>
      <c r="L118" s="9"/>
      <c r="M118" s="9">
        <v>165</v>
      </c>
      <c r="N118" s="9"/>
      <c r="O118" s="8" t="s">
        <v>324</v>
      </c>
      <c r="P118" s="9">
        <v>11</v>
      </c>
      <c r="Q118" s="9">
        <v>7.5</v>
      </c>
      <c r="R118" s="9">
        <v>2.6</v>
      </c>
      <c r="S118" s="8" t="s">
        <v>28</v>
      </c>
    </row>
    <row r="119" spans="1:19" ht="15" customHeight="1" x14ac:dyDescent="0.25">
      <c r="A119" s="6">
        <v>202</v>
      </c>
      <c r="B119" s="6" t="s">
        <v>596</v>
      </c>
      <c r="C119" s="6"/>
      <c r="D119" s="7" t="s">
        <v>487</v>
      </c>
      <c r="E119" s="8" t="s">
        <v>488</v>
      </c>
      <c r="F119" s="9">
        <v>2020</v>
      </c>
      <c r="G119" s="8" t="s">
        <v>421</v>
      </c>
      <c r="H119" s="8" t="s">
        <v>322</v>
      </c>
      <c r="I119" s="9"/>
      <c r="J119" s="8" t="s">
        <v>27</v>
      </c>
      <c r="K119" s="24" t="s">
        <v>323</v>
      </c>
      <c r="L119" s="9"/>
      <c r="M119" s="9">
        <v>110.3</v>
      </c>
      <c r="N119" s="9"/>
      <c r="O119" s="8" t="s">
        <v>324</v>
      </c>
      <c r="P119" s="9">
        <v>6</v>
      </c>
      <c r="Q119" s="9">
        <v>4.5999999999999996</v>
      </c>
      <c r="R119" s="9">
        <v>1.85</v>
      </c>
      <c r="S119" s="8" t="s">
        <v>28</v>
      </c>
    </row>
    <row r="120" spans="1:19" ht="15" customHeight="1" x14ac:dyDescent="0.25">
      <c r="A120" s="6">
        <v>203</v>
      </c>
      <c r="B120" s="6" t="s">
        <v>598</v>
      </c>
      <c r="C120" s="6" t="s">
        <v>620</v>
      </c>
      <c r="D120" s="7" t="s">
        <v>489</v>
      </c>
      <c r="E120" s="8" t="s">
        <v>454</v>
      </c>
      <c r="F120" s="9">
        <v>2017</v>
      </c>
      <c r="G120" s="8" t="s">
        <v>421</v>
      </c>
      <c r="H120" s="8" t="s">
        <v>98</v>
      </c>
      <c r="I120" s="9"/>
      <c r="J120" s="8" t="s">
        <v>37</v>
      </c>
      <c r="K120" s="24" t="s">
        <v>323</v>
      </c>
      <c r="L120" s="9"/>
      <c r="M120" s="9">
        <v>397</v>
      </c>
      <c r="N120" s="9"/>
      <c r="O120" s="8" t="s">
        <v>324</v>
      </c>
      <c r="P120" s="9">
        <v>9</v>
      </c>
      <c r="Q120" s="9">
        <v>11.7</v>
      </c>
      <c r="R120" s="9">
        <v>4.0999999999999996</v>
      </c>
      <c r="S120" s="8" t="s">
        <v>38</v>
      </c>
    </row>
    <row r="121" spans="1:19" ht="15" customHeight="1" x14ac:dyDescent="0.25">
      <c r="A121" s="6">
        <v>204</v>
      </c>
      <c r="B121" s="6" t="s">
        <v>596</v>
      </c>
      <c r="C121" s="6"/>
      <c r="D121" s="7" t="s">
        <v>490</v>
      </c>
      <c r="E121" s="8" t="s">
        <v>491</v>
      </c>
      <c r="F121" s="9">
        <v>2008</v>
      </c>
      <c r="G121" s="8" t="s">
        <v>450</v>
      </c>
      <c r="H121" s="8" t="s">
        <v>322</v>
      </c>
      <c r="I121" s="9"/>
      <c r="J121" s="8" t="s">
        <v>73</v>
      </c>
      <c r="K121" s="24" t="s">
        <v>323</v>
      </c>
      <c r="L121" s="9"/>
      <c r="M121" s="9">
        <v>147.1</v>
      </c>
      <c r="N121" s="9"/>
      <c r="O121" s="8" t="s">
        <v>492</v>
      </c>
      <c r="P121" s="9">
        <v>18</v>
      </c>
      <c r="Q121" s="9">
        <v>5.6</v>
      </c>
      <c r="R121" s="9">
        <v>2.2000000000000002</v>
      </c>
      <c r="S121" s="8" t="s">
        <v>76</v>
      </c>
    </row>
    <row r="122" spans="1:19" ht="15" customHeight="1" x14ac:dyDescent="0.25">
      <c r="A122" s="6">
        <v>205</v>
      </c>
      <c r="B122" s="6" t="s">
        <v>598</v>
      </c>
      <c r="C122" s="6"/>
      <c r="D122" s="7" t="s">
        <v>493</v>
      </c>
      <c r="E122" s="8" t="s">
        <v>414</v>
      </c>
      <c r="F122" s="9">
        <v>2013</v>
      </c>
      <c r="G122" s="8" t="s">
        <v>421</v>
      </c>
      <c r="H122" s="8" t="s">
        <v>98</v>
      </c>
      <c r="I122" s="9"/>
      <c r="J122" s="8" t="s">
        <v>73</v>
      </c>
      <c r="K122" s="24" t="s">
        <v>323</v>
      </c>
      <c r="L122" s="9"/>
      <c r="M122" s="9">
        <v>191.24</v>
      </c>
      <c r="N122" s="9"/>
      <c r="O122" s="8" t="s">
        <v>324</v>
      </c>
      <c r="P122" s="9">
        <v>13</v>
      </c>
      <c r="Q122" s="9">
        <v>8.58</v>
      </c>
      <c r="R122" s="9">
        <v>2.65</v>
      </c>
      <c r="S122" s="8" t="s">
        <v>76</v>
      </c>
    </row>
    <row r="123" spans="1:19" ht="15" customHeight="1" x14ac:dyDescent="0.25">
      <c r="A123" s="2">
        <v>5</v>
      </c>
      <c r="B123" s="2" t="s">
        <v>601</v>
      </c>
      <c r="C123" s="2" t="s">
        <v>626</v>
      </c>
      <c r="D123" s="3" t="s">
        <v>39</v>
      </c>
      <c r="E123" s="4" t="s">
        <v>40</v>
      </c>
      <c r="F123" s="5">
        <v>2025</v>
      </c>
      <c r="G123" s="4" t="s">
        <v>31</v>
      </c>
      <c r="H123" s="4" t="s">
        <v>26</v>
      </c>
      <c r="I123" s="5">
        <v>9936082</v>
      </c>
      <c r="J123" s="4" t="s">
        <v>21</v>
      </c>
      <c r="K123" s="29" t="s">
        <v>33</v>
      </c>
      <c r="L123" s="5">
        <v>4385</v>
      </c>
      <c r="M123" s="5">
        <v>12000</v>
      </c>
      <c r="N123" s="5"/>
      <c r="O123" s="4" t="s">
        <v>23</v>
      </c>
      <c r="P123" s="5">
        <v>1</v>
      </c>
      <c r="Q123" s="5">
        <v>86.95</v>
      </c>
      <c r="R123" s="5">
        <v>18.39</v>
      </c>
      <c r="S123" s="4" t="s">
        <v>24</v>
      </c>
    </row>
    <row r="124" spans="1:19" ht="15" customHeight="1" x14ac:dyDescent="0.25">
      <c r="A124" s="6">
        <v>110</v>
      </c>
      <c r="B124" s="6" t="s">
        <v>606</v>
      </c>
      <c r="C124" s="6" t="s">
        <v>625</v>
      </c>
      <c r="D124" s="7" t="s">
        <v>298</v>
      </c>
      <c r="E124" s="8" t="s">
        <v>299</v>
      </c>
      <c r="F124" s="9">
        <v>1979</v>
      </c>
      <c r="G124" s="8" t="s">
        <v>300</v>
      </c>
      <c r="H124" s="8" t="s">
        <v>72</v>
      </c>
      <c r="I124" s="9"/>
      <c r="J124" s="8" t="s">
        <v>73</v>
      </c>
      <c r="K124" s="32" t="s">
        <v>301</v>
      </c>
      <c r="L124" s="9">
        <v>94</v>
      </c>
      <c r="M124" s="9">
        <v>110</v>
      </c>
      <c r="N124" s="9"/>
      <c r="O124" s="8" t="s">
        <v>75</v>
      </c>
      <c r="P124" s="12">
        <v>47</v>
      </c>
      <c r="Q124" s="9">
        <v>31.5</v>
      </c>
      <c r="R124" s="9">
        <v>6.3</v>
      </c>
      <c r="S124" s="8" t="s">
        <v>76</v>
      </c>
    </row>
    <row r="125" spans="1:19" ht="15" customHeight="1" x14ac:dyDescent="0.25">
      <c r="A125" s="6">
        <v>111</v>
      </c>
      <c r="B125" s="6" t="s">
        <v>606</v>
      </c>
      <c r="C125" s="6" t="s">
        <v>625</v>
      </c>
      <c r="D125" s="7" t="s">
        <v>302</v>
      </c>
      <c r="E125" s="8" t="s">
        <v>303</v>
      </c>
      <c r="F125" s="9">
        <v>1981</v>
      </c>
      <c r="G125" s="8" t="s">
        <v>300</v>
      </c>
      <c r="H125" s="8" t="s">
        <v>72</v>
      </c>
      <c r="I125" s="9"/>
      <c r="J125" s="8" t="s">
        <v>73</v>
      </c>
      <c r="K125" s="32" t="s">
        <v>301</v>
      </c>
      <c r="L125" s="9">
        <v>94</v>
      </c>
      <c r="M125" s="9">
        <v>110</v>
      </c>
      <c r="N125" s="9"/>
      <c r="O125" s="8" t="s">
        <v>75</v>
      </c>
      <c r="P125" s="12">
        <v>45</v>
      </c>
      <c r="Q125" s="9">
        <v>31.3</v>
      </c>
      <c r="R125" s="9">
        <v>6.3</v>
      </c>
      <c r="S125" s="8" t="s">
        <v>76</v>
      </c>
    </row>
    <row r="126" spans="1:19" ht="15" customHeight="1" x14ac:dyDescent="0.25">
      <c r="A126" s="6">
        <v>206</v>
      </c>
      <c r="B126" s="6" t="s">
        <v>596</v>
      </c>
      <c r="C126" s="6"/>
      <c r="D126" s="7" t="s">
        <v>494</v>
      </c>
      <c r="E126" s="8" t="s">
        <v>408</v>
      </c>
      <c r="F126" s="9">
        <v>2018</v>
      </c>
      <c r="G126" s="8" t="s">
        <v>495</v>
      </c>
      <c r="H126" s="8" t="s">
        <v>98</v>
      </c>
      <c r="I126" s="9"/>
      <c r="J126" s="8" t="s">
        <v>32</v>
      </c>
      <c r="K126" s="24" t="s">
        <v>323</v>
      </c>
      <c r="L126" s="9"/>
      <c r="M126" s="9">
        <v>73.5</v>
      </c>
      <c r="N126" s="9"/>
      <c r="O126" s="8" t="s">
        <v>324</v>
      </c>
      <c r="P126" s="9">
        <v>8</v>
      </c>
      <c r="Q126" s="9">
        <v>6.1</v>
      </c>
      <c r="R126" s="9">
        <v>2.2000000000000002</v>
      </c>
      <c r="S126" s="8" t="s">
        <v>34</v>
      </c>
    </row>
    <row r="127" spans="1:19" ht="15" customHeight="1" x14ac:dyDescent="0.25">
      <c r="A127" s="6">
        <v>51</v>
      </c>
      <c r="B127" s="6" t="s">
        <v>610</v>
      </c>
      <c r="C127" s="6"/>
      <c r="D127" s="7" t="s">
        <v>169</v>
      </c>
      <c r="E127" s="8">
        <v>81050</v>
      </c>
      <c r="F127" s="9">
        <v>1994</v>
      </c>
      <c r="G127" s="8" t="s">
        <v>124</v>
      </c>
      <c r="H127" s="8" t="s">
        <v>72</v>
      </c>
      <c r="I127" s="9"/>
      <c r="J127" s="8" t="s">
        <v>170</v>
      </c>
      <c r="K127" s="24" t="s">
        <v>146</v>
      </c>
      <c r="L127" s="9">
        <v>453.4</v>
      </c>
      <c r="M127" s="9">
        <v>330</v>
      </c>
      <c r="N127" s="9"/>
      <c r="O127" s="8" t="s">
        <v>75</v>
      </c>
      <c r="P127" s="11">
        <v>32</v>
      </c>
      <c r="Q127" s="9">
        <v>32.799999999999997</v>
      </c>
      <c r="R127" s="9">
        <v>15.7</v>
      </c>
      <c r="S127" s="8" t="s">
        <v>24</v>
      </c>
    </row>
    <row r="128" spans="1:19" ht="15" customHeight="1" x14ac:dyDescent="0.25">
      <c r="A128" s="2">
        <v>30</v>
      </c>
      <c r="B128" s="2" t="s">
        <v>609</v>
      </c>
      <c r="C128" s="2" t="s">
        <v>626</v>
      </c>
      <c r="D128" s="3" t="s">
        <v>112</v>
      </c>
      <c r="E128" s="4">
        <v>1454</v>
      </c>
      <c r="F128" s="5">
        <v>1990</v>
      </c>
      <c r="G128" s="4" t="s">
        <v>113</v>
      </c>
      <c r="H128" s="4" t="s">
        <v>26</v>
      </c>
      <c r="I128" s="5">
        <v>8832590</v>
      </c>
      <c r="J128" s="4" t="s">
        <v>21</v>
      </c>
      <c r="K128" s="29" t="s">
        <v>114</v>
      </c>
      <c r="L128" s="5">
        <v>1178</v>
      </c>
      <c r="M128" s="5">
        <v>2200</v>
      </c>
      <c r="N128" s="5">
        <v>25</v>
      </c>
      <c r="O128" s="4" t="s">
        <v>23</v>
      </c>
      <c r="P128" s="12">
        <v>36</v>
      </c>
      <c r="Q128" s="5">
        <v>58.55</v>
      </c>
      <c r="R128" s="5">
        <v>12.64</v>
      </c>
      <c r="S128" s="4" t="s">
        <v>24</v>
      </c>
    </row>
    <row r="129" spans="1:19" ht="15" customHeight="1" x14ac:dyDescent="0.25">
      <c r="A129" s="6">
        <v>207</v>
      </c>
      <c r="B129" s="6" t="s">
        <v>597</v>
      </c>
      <c r="C129" s="6" t="s">
        <v>621</v>
      </c>
      <c r="D129" s="7" t="s">
        <v>496</v>
      </c>
      <c r="E129" s="8" t="s">
        <v>484</v>
      </c>
      <c r="F129" s="9">
        <v>2014</v>
      </c>
      <c r="G129" s="8" t="s">
        <v>329</v>
      </c>
      <c r="H129" s="8" t="s">
        <v>98</v>
      </c>
      <c r="I129" s="9"/>
      <c r="J129" s="8" t="s">
        <v>27</v>
      </c>
      <c r="K129" s="24" t="s">
        <v>323</v>
      </c>
      <c r="L129" s="9"/>
      <c r="M129" s="9">
        <v>257.25</v>
      </c>
      <c r="N129" s="9"/>
      <c r="O129" s="8" t="s">
        <v>324</v>
      </c>
      <c r="P129" s="9">
        <v>12</v>
      </c>
      <c r="Q129" s="9">
        <v>8.58</v>
      </c>
      <c r="R129" s="9">
        <v>2.65</v>
      </c>
      <c r="S129" s="8" t="s">
        <v>28</v>
      </c>
    </row>
    <row r="130" spans="1:19" ht="15" customHeight="1" x14ac:dyDescent="0.25">
      <c r="A130" s="6">
        <v>208</v>
      </c>
      <c r="B130" s="6" t="s">
        <v>598</v>
      </c>
      <c r="C130" s="6"/>
      <c r="D130" s="7" t="s">
        <v>496</v>
      </c>
      <c r="E130" s="8" t="s">
        <v>497</v>
      </c>
      <c r="F130" s="9">
        <v>2015</v>
      </c>
      <c r="G130" s="8" t="s">
        <v>421</v>
      </c>
      <c r="H130" s="8" t="s">
        <v>98</v>
      </c>
      <c r="I130" s="9"/>
      <c r="J130" s="8" t="s">
        <v>210</v>
      </c>
      <c r="K130" s="32" t="s">
        <v>323</v>
      </c>
      <c r="L130" s="9"/>
      <c r="M130" s="9">
        <v>167.8</v>
      </c>
      <c r="N130" s="9"/>
      <c r="O130" s="8" t="s">
        <v>324</v>
      </c>
      <c r="P130" s="9">
        <v>11</v>
      </c>
      <c r="Q130" s="9">
        <v>7.5</v>
      </c>
      <c r="R130" s="9">
        <v>2.6</v>
      </c>
      <c r="S130" s="8" t="s">
        <v>212</v>
      </c>
    </row>
    <row r="131" spans="1:19" ht="15" customHeight="1" x14ac:dyDescent="0.25">
      <c r="A131" s="6">
        <v>209</v>
      </c>
      <c r="B131" s="6" t="s">
        <v>597</v>
      </c>
      <c r="C131" s="6" t="s">
        <v>620</v>
      </c>
      <c r="D131" s="7" t="s">
        <v>498</v>
      </c>
      <c r="E131" s="8" t="s">
        <v>484</v>
      </c>
      <c r="F131" s="9">
        <v>2015</v>
      </c>
      <c r="G131" s="8" t="s">
        <v>329</v>
      </c>
      <c r="H131" s="8" t="s">
        <v>98</v>
      </c>
      <c r="I131" s="9"/>
      <c r="J131" s="8" t="s">
        <v>37</v>
      </c>
      <c r="K131" s="32" t="s">
        <v>323</v>
      </c>
      <c r="L131" s="9"/>
      <c r="M131" s="9">
        <v>168</v>
      </c>
      <c r="N131" s="9"/>
      <c r="O131" s="8" t="s">
        <v>324</v>
      </c>
      <c r="P131" s="9">
        <v>11</v>
      </c>
      <c r="Q131" s="9">
        <v>7.5</v>
      </c>
      <c r="R131" s="9">
        <v>2.6</v>
      </c>
      <c r="S131" s="8" t="s">
        <v>38</v>
      </c>
    </row>
    <row r="132" spans="1:19" ht="15" customHeight="1" x14ac:dyDescent="0.25">
      <c r="A132" s="6">
        <v>210</v>
      </c>
      <c r="B132" s="6" t="s">
        <v>597</v>
      </c>
      <c r="C132" s="6" t="s">
        <v>620</v>
      </c>
      <c r="D132" s="7" t="s">
        <v>499</v>
      </c>
      <c r="E132" s="8" t="s">
        <v>484</v>
      </c>
      <c r="F132" s="9">
        <v>2014</v>
      </c>
      <c r="G132" s="8" t="s">
        <v>329</v>
      </c>
      <c r="H132" s="8" t="s">
        <v>98</v>
      </c>
      <c r="I132" s="9"/>
      <c r="J132" s="8" t="s">
        <v>37</v>
      </c>
      <c r="K132" s="32" t="s">
        <v>323</v>
      </c>
      <c r="L132" s="9"/>
      <c r="M132" s="9">
        <v>167.8</v>
      </c>
      <c r="N132" s="9"/>
      <c r="O132" s="8" t="s">
        <v>324</v>
      </c>
      <c r="P132" s="9">
        <v>12</v>
      </c>
      <c r="Q132" s="9">
        <v>7.5</v>
      </c>
      <c r="R132" s="9">
        <v>2.6</v>
      </c>
      <c r="S132" s="8" t="s">
        <v>38</v>
      </c>
    </row>
    <row r="133" spans="1:19" ht="15" customHeight="1" x14ac:dyDescent="0.25">
      <c r="A133" s="6">
        <v>255</v>
      </c>
      <c r="B133" s="6" t="s">
        <v>598</v>
      </c>
      <c r="C133" s="6" t="s">
        <v>620</v>
      </c>
      <c r="D133" s="7" t="s">
        <v>566</v>
      </c>
      <c r="E133" s="8" t="s">
        <v>480</v>
      </c>
      <c r="F133" s="9">
        <v>2020</v>
      </c>
      <c r="G133" s="8" t="s">
        <v>567</v>
      </c>
      <c r="H133" s="8" t="s">
        <v>98</v>
      </c>
      <c r="I133" s="9"/>
      <c r="J133" s="8" t="s">
        <v>37</v>
      </c>
      <c r="K133" s="24" t="s">
        <v>323</v>
      </c>
      <c r="L133" s="9"/>
      <c r="M133" s="9">
        <v>480</v>
      </c>
      <c r="N133" s="9"/>
      <c r="O133" s="8" t="s">
        <v>324</v>
      </c>
      <c r="P133" s="9">
        <v>6</v>
      </c>
      <c r="Q133" s="9">
        <v>11.99</v>
      </c>
      <c r="R133" s="9">
        <v>3.6</v>
      </c>
      <c r="S133" s="8" t="s">
        <v>38</v>
      </c>
    </row>
    <row r="134" spans="1:19" ht="15" customHeight="1" x14ac:dyDescent="0.25">
      <c r="A134" s="6">
        <v>211</v>
      </c>
      <c r="B134" s="6" t="s">
        <v>596</v>
      </c>
      <c r="C134" s="6"/>
      <c r="D134" s="7" t="s">
        <v>500</v>
      </c>
      <c r="E134" s="8" t="s">
        <v>501</v>
      </c>
      <c r="F134" s="9">
        <v>1985</v>
      </c>
      <c r="G134" s="8" t="s">
        <v>502</v>
      </c>
      <c r="H134" s="8" t="s">
        <v>72</v>
      </c>
      <c r="I134" s="9"/>
      <c r="J134" s="8" t="s">
        <v>470</v>
      </c>
      <c r="K134" s="24" t="s">
        <v>326</v>
      </c>
      <c r="L134" s="9"/>
      <c r="M134" s="9">
        <v>100</v>
      </c>
      <c r="N134" s="9"/>
      <c r="O134" s="8" t="s">
        <v>159</v>
      </c>
      <c r="P134" s="12">
        <v>41</v>
      </c>
      <c r="Q134" s="9">
        <v>9</v>
      </c>
      <c r="R134" s="9">
        <v>2.7</v>
      </c>
      <c r="S134" s="8" t="s">
        <v>76</v>
      </c>
    </row>
    <row r="135" spans="1:19" ht="15" customHeight="1" x14ac:dyDescent="0.25">
      <c r="A135" s="18">
        <v>114</v>
      </c>
      <c r="B135" s="18" t="s">
        <v>598</v>
      </c>
      <c r="C135" s="18" t="s">
        <v>619</v>
      </c>
      <c r="D135" s="19" t="s">
        <v>309</v>
      </c>
      <c r="E135" s="20">
        <v>1459</v>
      </c>
      <c r="F135" s="21">
        <v>1985</v>
      </c>
      <c r="G135" s="20" t="s">
        <v>310</v>
      </c>
      <c r="H135" s="20" t="s">
        <v>98</v>
      </c>
      <c r="I135" s="21"/>
      <c r="J135" s="20" t="s">
        <v>167</v>
      </c>
      <c r="K135" s="26" t="s">
        <v>311</v>
      </c>
      <c r="L135" s="21">
        <v>80</v>
      </c>
      <c r="M135" s="21">
        <v>440</v>
      </c>
      <c r="N135" s="21"/>
      <c r="O135" s="20" t="s">
        <v>127</v>
      </c>
      <c r="P135" s="12">
        <v>41</v>
      </c>
      <c r="Q135" s="21">
        <v>23</v>
      </c>
      <c r="R135" s="21">
        <v>5.8</v>
      </c>
      <c r="S135" s="20" t="s">
        <v>65</v>
      </c>
    </row>
    <row r="136" spans="1:19" ht="15" customHeight="1" x14ac:dyDescent="0.25">
      <c r="A136" s="6">
        <v>126</v>
      </c>
      <c r="B136" s="6" t="s">
        <v>597</v>
      </c>
      <c r="C136" s="6" t="s">
        <v>619</v>
      </c>
      <c r="D136" s="7" t="s">
        <v>335</v>
      </c>
      <c r="E136" s="8" t="s">
        <v>336</v>
      </c>
      <c r="F136" s="9">
        <v>2021</v>
      </c>
      <c r="G136" s="8" t="s">
        <v>329</v>
      </c>
      <c r="H136" s="8" t="s">
        <v>98</v>
      </c>
      <c r="I136" s="9"/>
      <c r="J136" s="8" t="s">
        <v>64</v>
      </c>
      <c r="K136" s="32" t="s">
        <v>337</v>
      </c>
      <c r="L136" s="9">
        <v>56</v>
      </c>
      <c r="M136" s="9">
        <v>1176</v>
      </c>
      <c r="N136" s="9"/>
      <c r="O136" s="8" t="s">
        <v>127</v>
      </c>
      <c r="P136" s="9">
        <v>5</v>
      </c>
      <c r="Q136" s="9">
        <v>19.829999999999998</v>
      </c>
      <c r="R136" s="9">
        <v>5</v>
      </c>
      <c r="S136" s="8" t="s">
        <v>65</v>
      </c>
    </row>
    <row r="137" spans="1:19" ht="15" customHeight="1" x14ac:dyDescent="0.25">
      <c r="A137" s="6">
        <v>143</v>
      </c>
      <c r="B137" s="6" t="s">
        <v>597</v>
      </c>
      <c r="C137" s="6" t="s">
        <v>620</v>
      </c>
      <c r="D137" s="7" t="s">
        <v>367</v>
      </c>
      <c r="E137" s="8" t="s">
        <v>368</v>
      </c>
      <c r="F137" s="9">
        <v>1989</v>
      </c>
      <c r="G137" s="8" t="s">
        <v>369</v>
      </c>
      <c r="H137" s="8" t="s">
        <v>98</v>
      </c>
      <c r="I137" s="9"/>
      <c r="J137" s="8" t="s">
        <v>37</v>
      </c>
      <c r="K137" s="32" t="s">
        <v>370</v>
      </c>
      <c r="L137" s="9">
        <v>37</v>
      </c>
      <c r="M137" s="9">
        <v>794</v>
      </c>
      <c r="N137" s="9"/>
      <c r="O137" s="8" t="s">
        <v>109</v>
      </c>
      <c r="P137" s="12">
        <v>37</v>
      </c>
      <c r="Q137" s="9">
        <v>18</v>
      </c>
      <c r="R137" s="9">
        <v>5</v>
      </c>
      <c r="S137" s="8" t="s">
        <v>38</v>
      </c>
    </row>
    <row r="138" spans="1:19" ht="15" customHeight="1" x14ac:dyDescent="0.25">
      <c r="A138" s="6">
        <v>142</v>
      </c>
      <c r="B138" s="6" t="s">
        <v>596</v>
      </c>
      <c r="C138" s="6"/>
      <c r="D138" s="7" t="s">
        <v>365</v>
      </c>
      <c r="E138" s="8" t="s">
        <v>366</v>
      </c>
      <c r="F138" s="9">
        <v>2006</v>
      </c>
      <c r="G138" s="8" t="s">
        <v>321</v>
      </c>
      <c r="H138" s="8" t="s">
        <v>322</v>
      </c>
      <c r="I138" s="9"/>
      <c r="J138" s="8" t="s">
        <v>136</v>
      </c>
      <c r="K138" s="24" t="s">
        <v>323</v>
      </c>
      <c r="L138" s="9">
        <v>39.799999999999997</v>
      </c>
      <c r="M138" s="9">
        <v>44</v>
      </c>
      <c r="N138" s="9"/>
      <c r="O138" s="8" t="s">
        <v>324</v>
      </c>
      <c r="P138" s="9">
        <v>20</v>
      </c>
      <c r="Q138" s="9">
        <v>5.27</v>
      </c>
      <c r="R138" s="9">
        <v>1.74</v>
      </c>
      <c r="S138" s="8" t="s">
        <v>268</v>
      </c>
    </row>
    <row r="139" spans="1:19" ht="15" customHeight="1" x14ac:dyDescent="0.25">
      <c r="A139" s="6">
        <v>26</v>
      </c>
      <c r="B139" s="6" t="s">
        <v>602</v>
      </c>
      <c r="C139" s="6"/>
      <c r="D139" s="7" t="s">
        <v>96</v>
      </c>
      <c r="E139" s="8" t="s">
        <v>96</v>
      </c>
      <c r="F139" s="9">
        <v>2001</v>
      </c>
      <c r="G139" s="8" t="s">
        <v>97</v>
      </c>
      <c r="H139" s="8" t="s">
        <v>98</v>
      </c>
      <c r="I139" s="9"/>
      <c r="J139" s="8" t="s">
        <v>21</v>
      </c>
      <c r="K139" s="24" t="s">
        <v>99</v>
      </c>
      <c r="L139" s="9">
        <v>2522</v>
      </c>
      <c r="M139" s="9"/>
      <c r="N139" s="9"/>
      <c r="O139" s="8" t="s">
        <v>23</v>
      </c>
      <c r="P139" s="11">
        <v>25</v>
      </c>
      <c r="Q139" s="9">
        <v>80.5</v>
      </c>
      <c r="R139" s="9">
        <v>25.5</v>
      </c>
      <c r="S139" s="8" t="s">
        <v>24</v>
      </c>
    </row>
    <row r="140" spans="1:19" ht="15" customHeight="1" x14ac:dyDescent="0.25">
      <c r="A140" s="6">
        <v>212</v>
      </c>
      <c r="B140" s="6" t="s">
        <v>596</v>
      </c>
      <c r="C140" s="6"/>
      <c r="D140" s="7" t="s">
        <v>503</v>
      </c>
      <c r="E140" s="8" t="s">
        <v>504</v>
      </c>
      <c r="F140" s="9">
        <v>2021</v>
      </c>
      <c r="G140" s="8" t="s">
        <v>321</v>
      </c>
      <c r="H140" s="8" t="s">
        <v>322</v>
      </c>
      <c r="I140" s="9"/>
      <c r="J140" s="8" t="s">
        <v>27</v>
      </c>
      <c r="K140" s="24" t="s">
        <v>323</v>
      </c>
      <c r="L140" s="9"/>
      <c r="M140" s="9">
        <v>11</v>
      </c>
      <c r="N140" s="9"/>
      <c r="O140" s="8" t="s">
        <v>324</v>
      </c>
      <c r="P140" s="9">
        <v>5</v>
      </c>
      <c r="Q140" s="9">
        <v>4.5</v>
      </c>
      <c r="R140" s="9">
        <v>1.6</v>
      </c>
      <c r="S140" s="8" t="s">
        <v>28</v>
      </c>
    </row>
    <row r="141" spans="1:19" ht="15" customHeight="1" x14ac:dyDescent="0.25">
      <c r="A141" s="13">
        <v>50</v>
      </c>
      <c r="B141" s="13" t="s">
        <v>609</v>
      </c>
      <c r="C141" s="13" t="s">
        <v>619</v>
      </c>
      <c r="D141" s="14" t="s">
        <v>166</v>
      </c>
      <c r="E141" s="15">
        <v>151</v>
      </c>
      <c r="F141" s="16">
        <v>1975</v>
      </c>
      <c r="G141" s="15" t="s">
        <v>35</v>
      </c>
      <c r="H141" s="15" t="s">
        <v>98</v>
      </c>
      <c r="I141" s="16">
        <v>7391692</v>
      </c>
      <c r="J141" s="15" t="s">
        <v>167</v>
      </c>
      <c r="K141" s="31" t="s">
        <v>168</v>
      </c>
      <c r="L141" s="16">
        <v>456</v>
      </c>
      <c r="M141" s="16">
        <v>3660</v>
      </c>
      <c r="N141" s="16">
        <v>36</v>
      </c>
      <c r="O141" s="15" t="s">
        <v>141</v>
      </c>
      <c r="P141" s="12">
        <v>51</v>
      </c>
      <c r="Q141" s="16">
        <v>39.049999999999997</v>
      </c>
      <c r="R141" s="16">
        <v>9.6</v>
      </c>
      <c r="S141" s="15" t="s">
        <v>65</v>
      </c>
    </row>
    <row r="142" spans="1:19" ht="15" customHeight="1" x14ac:dyDescent="0.25">
      <c r="A142" s="18">
        <v>109</v>
      </c>
      <c r="B142" s="18" t="s">
        <v>598</v>
      </c>
      <c r="C142" s="18" t="s">
        <v>621</v>
      </c>
      <c r="D142" s="19" t="s">
        <v>297</v>
      </c>
      <c r="E142" s="20">
        <v>1458</v>
      </c>
      <c r="F142" s="21">
        <v>1981</v>
      </c>
      <c r="G142" s="20" t="s">
        <v>31</v>
      </c>
      <c r="H142" s="20" t="s">
        <v>98</v>
      </c>
      <c r="I142" s="21"/>
      <c r="J142" s="20" t="s">
        <v>44</v>
      </c>
      <c r="K142" s="30" t="s">
        <v>230</v>
      </c>
      <c r="L142" s="21">
        <v>98</v>
      </c>
      <c r="M142" s="21">
        <v>1693</v>
      </c>
      <c r="N142" s="21"/>
      <c r="O142" s="20" t="s">
        <v>141</v>
      </c>
      <c r="P142" s="12">
        <v>45</v>
      </c>
      <c r="Q142" s="21">
        <v>27.15</v>
      </c>
      <c r="R142" s="21">
        <v>6.64</v>
      </c>
      <c r="S142" s="20" t="s">
        <v>28</v>
      </c>
    </row>
    <row r="143" spans="1:19" ht="15" customHeight="1" x14ac:dyDescent="0.25">
      <c r="A143" s="6">
        <v>270</v>
      </c>
      <c r="B143" s="6" t="s">
        <v>598</v>
      </c>
      <c r="C143" s="6" t="s">
        <v>619</v>
      </c>
      <c r="D143" s="7" t="s">
        <v>585</v>
      </c>
      <c r="E143" s="8" t="s">
        <v>480</v>
      </c>
      <c r="F143" s="9">
        <v>2018</v>
      </c>
      <c r="G143" s="8" t="s">
        <v>567</v>
      </c>
      <c r="H143" s="8" t="s">
        <v>98</v>
      </c>
      <c r="I143" s="9"/>
      <c r="J143" s="8" t="s">
        <v>64</v>
      </c>
      <c r="K143" s="24" t="s">
        <v>323</v>
      </c>
      <c r="L143" s="9"/>
      <c r="M143" s="9">
        <v>694</v>
      </c>
      <c r="N143" s="9"/>
      <c r="O143" s="8" t="s">
        <v>324</v>
      </c>
      <c r="P143" s="9">
        <v>8</v>
      </c>
      <c r="Q143" s="9">
        <v>11.56</v>
      </c>
      <c r="R143" s="9">
        <v>3.6</v>
      </c>
      <c r="S143" s="8" t="s">
        <v>65</v>
      </c>
    </row>
    <row r="144" spans="1:19" ht="15" customHeight="1" x14ac:dyDescent="0.25">
      <c r="A144" s="6">
        <v>144</v>
      </c>
      <c r="B144" s="6" t="s">
        <v>597</v>
      </c>
      <c r="C144" s="6" t="s">
        <v>626</v>
      </c>
      <c r="D144" s="7" t="s">
        <v>371</v>
      </c>
      <c r="E144" s="8" t="s">
        <v>368</v>
      </c>
      <c r="F144" s="9">
        <v>1990</v>
      </c>
      <c r="G144" s="8" t="s">
        <v>369</v>
      </c>
      <c r="H144" s="8" t="s">
        <v>98</v>
      </c>
      <c r="I144" s="9"/>
      <c r="J144" s="8" t="s">
        <v>21</v>
      </c>
      <c r="K144" s="32" t="s">
        <v>370</v>
      </c>
      <c r="L144" s="9">
        <v>36</v>
      </c>
      <c r="M144" s="9">
        <v>794</v>
      </c>
      <c r="N144" s="9"/>
      <c r="O144" s="8" t="s">
        <v>109</v>
      </c>
      <c r="P144" s="12">
        <v>36</v>
      </c>
      <c r="Q144" s="9">
        <v>15.55</v>
      </c>
      <c r="R144" s="9">
        <v>4.9800000000000004</v>
      </c>
      <c r="S144" s="8" t="s">
        <v>24</v>
      </c>
    </row>
    <row r="145" spans="1:19" ht="15" customHeight="1" x14ac:dyDescent="0.25">
      <c r="A145" s="6">
        <v>213</v>
      </c>
      <c r="B145" s="6" t="s">
        <v>597</v>
      </c>
      <c r="C145" s="6"/>
      <c r="D145" s="7" t="s">
        <v>505</v>
      </c>
      <c r="E145" s="8" t="s">
        <v>408</v>
      </c>
      <c r="F145" s="9">
        <v>1990</v>
      </c>
      <c r="G145" s="8" t="s">
        <v>506</v>
      </c>
      <c r="H145" s="8" t="s">
        <v>98</v>
      </c>
      <c r="I145" s="9"/>
      <c r="J145" s="8" t="s">
        <v>37</v>
      </c>
      <c r="K145" s="32" t="s">
        <v>323</v>
      </c>
      <c r="L145" s="9"/>
      <c r="M145" s="9">
        <v>118</v>
      </c>
      <c r="N145" s="9"/>
      <c r="O145" s="8" t="s">
        <v>324</v>
      </c>
      <c r="P145" s="12">
        <v>36</v>
      </c>
      <c r="Q145" s="9">
        <v>6.35</v>
      </c>
      <c r="R145" s="9">
        <v>2.2599999999999998</v>
      </c>
      <c r="S145" s="8" t="s">
        <v>38</v>
      </c>
    </row>
    <row r="146" spans="1:19" ht="15" customHeight="1" x14ac:dyDescent="0.25">
      <c r="A146" s="6">
        <v>16</v>
      </c>
      <c r="B146" s="6" t="s">
        <v>611</v>
      </c>
      <c r="C146" s="6"/>
      <c r="D146" s="7" t="s">
        <v>69</v>
      </c>
      <c r="E146" s="8" t="s">
        <v>70</v>
      </c>
      <c r="F146" s="9">
        <v>1986</v>
      </c>
      <c r="G146" s="8" t="s">
        <v>71</v>
      </c>
      <c r="H146" s="8" t="s">
        <v>72</v>
      </c>
      <c r="I146" s="9"/>
      <c r="J146" s="8" t="s">
        <v>73</v>
      </c>
      <c r="K146" s="24" t="s">
        <v>74</v>
      </c>
      <c r="L146" s="9">
        <v>2897.2</v>
      </c>
      <c r="M146" s="9">
        <v>1905</v>
      </c>
      <c r="N146" s="9"/>
      <c r="O146" s="8" t="s">
        <v>75</v>
      </c>
      <c r="P146" s="12">
        <v>40</v>
      </c>
      <c r="Q146" s="9">
        <v>63.18</v>
      </c>
      <c r="R146" s="9">
        <v>25.21</v>
      </c>
      <c r="S146" s="8" t="s">
        <v>76</v>
      </c>
    </row>
    <row r="147" spans="1:19" ht="15" customHeight="1" x14ac:dyDescent="0.25">
      <c r="A147" s="6">
        <v>161</v>
      </c>
      <c r="B147" s="6" t="s">
        <v>598</v>
      </c>
      <c r="C147" s="6" t="s">
        <v>620</v>
      </c>
      <c r="D147" s="7" t="s">
        <v>405</v>
      </c>
      <c r="E147" s="8" t="s">
        <v>405</v>
      </c>
      <c r="F147" s="9">
        <v>2020</v>
      </c>
      <c r="G147" s="8" t="s">
        <v>406</v>
      </c>
      <c r="H147" s="8" t="s">
        <v>98</v>
      </c>
      <c r="I147" s="9"/>
      <c r="J147" s="8" t="s">
        <v>37</v>
      </c>
      <c r="K147" s="32" t="s">
        <v>323</v>
      </c>
      <c r="L147" s="9">
        <v>8</v>
      </c>
      <c r="M147" s="9">
        <v>398</v>
      </c>
      <c r="N147" s="9"/>
      <c r="O147" s="8" t="s">
        <v>324</v>
      </c>
      <c r="P147" s="9">
        <v>6</v>
      </c>
      <c r="Q147" s="9">
        <v>11.4</v>
      </c>
      <c r="R147" s="9">
        <v>3.9</v>
      </c>
      <c r="S147" s="8" t="s">
        <v>38</v>
      </c>
    </row>
    <row r="148" spans="1:19" ht="15" customHeight="1" x14ac:dyDescent="0.25">
      <c r="A148" s="6">
        <v>214</v>
      </c>
      <c r="B148" s="6" t="s">
        <v>598</v>
      </c>
      <c r="C148" s="6"/>
      <c r="D148" s="7" t="s">
        <v>507</v>
      </c>
      <c r="E148" s="8" t="s">
        <v>414</v>
      </c>
      <c r="F148" s="9">
        <v>2015</v>
      </c>
      <c r="G148" s="8" t="s">
        <v>421</v>
      </c>
      <c r="H148" s="8" t="s">
        <v>98</v>
      </c>
      <c r="I148" s="9"/>
      <c r="J148" s="8" t="s">
        <v>21</v>
      </c>
      <c r="K148" s="24" t="s">
        <v>323</v>
      </c>
      <c r="L148" s="9"/>
      <c r="M148" s="9">
        <v>324</v>
      </c>
      <c r="N148" s="9"/>
      <c r="O148" s="8" t="s">
        <v>324</v>
      </c>
      <c r="P148" s="9">
        <v>11</v>
      </c>
      <c r="Q148" s="9">
        <v>8.58</v>
      </c>
      <c r="R148" s="9">
        <v>2.65</v>
      </c>
      <c r="S148" s="8" t="s">
        <v>24</v>
      </c>
    </row>
    <row r="149" spans="1:19" ht="15" customHeight="1" x14ac:dyDescent="0.25">
      <c r="A149" s="6">
        <v>215</v>
      </c>
      <c r="B149" s="6" t="s">
        <v>597</v>
      </c>
      <c r="C149" s="6" t="s">
        <v>626</v>
      </c>
      <c r="D149" s="7" t="s">
        <v>508</v>
      </c>
      <c r="E149" s="8" t="s">
        <v>484</v>
      </c>
      <c r="F149" s="9">
        <v>2015</v>
      </c>
      <c r="G149" s="8" t="s">
        <v>509</v>
      </c>
      <c r="H149" s="8" t="s">
        <v>98</v>
      </c>
      <c r="I149" s="9"/>
      <c r="J149" s="8" t="s">
        <v>510</v>
      </c>
      <c r="K149" s="32" t="s">
        <v>323</v>
      </c>
      <c r="L149" s="9"/>
      <c r="M149" s="9">
        <v>165</v>
      </c>
      <c r="N149" s="9"/>
      <c r="O149" s="8" t="s">
        <v>324</v>
      </c>
      <c r="P149" s="9">
        <v>11</v>
      </c>
      <c r="Q149" s="9">
        <v>7.5</v>
      </c>
      <c r="R149" s="9">
        <v>2.6</v>
      </c>
      <c r="S149" s="8" t="s">
        <v>24</v>
      </c>
    </row>
    <row r="150" spans="1:19" ht="15" customHeight="1" x14ac:dyDescent="0.25">
      <c r="A150" s="6">
        <v>216</v>
      </c>
      <c r="B150" s="6" t="s">
        <v>597</v>
      </c>
      <c r="C150" s="6"/>
      <c r="D150" s="7" t="s">
        <v>511</v>
      </c>
      <c r="E150" s="8" t="s">
        <v>412</v>
      </c>
      <c r="F150" s="9">
        <v>2012</v>
      </c>
      <c r="G150" s="8" t="s">
        <v>329</v>
      </c>
      <c r="H150" s="8" t="s">
        <v>98</v>
      </c>
      <c r="I150" s="9"/>
      <c r="J150" s="8" t="s">
        <v>32</v>
      </c>
      <c r="K150" s="24" t="s">
        <v>323</v>
      </c>
      <c r="L150" s="9"/>
      <c r="M150" s="9">
        <v>169</v>
      </c>
      <c r="N150" s="9"/>
      <c r="O150" s="8" t="s">
        <v>324</v>
      </c>
      <c r="P150" s="9">
        <v>14</v>
      </c>
      <c r="Q150" s="9">
        <v>7.8</v>
      </c>
      <c r="R150" s="9">
        <v>2.54</v>
      </c>
      <c r="S150" s="8" t="s">
        <v>34</v>
      </c>
    </row>
    <row r="151" spans="1:19" ht="15" customHeight="1" x14ac:dyDescent="0.25">
      <c r="A151" s="6">
        <v>217</v>
      </c>
      <c r="B151" s="6" t="s">
        <v>598</v>
      </c>
      <c r="C151" s="6" t="s">
        <v>626</v>
      </c>
      <c r="D151" s="7" t="s">
        <v>512</v>
      </c>
      <c r="E151" s="8" t="s">
        <v>454</v>
      </c>
      <c r="F151" s="9">
        <v>2017</v>
      </c>
      <c r="G151" s="8" t="s">
        <v>421</v>
      </c>
      <c r="H151" s="8" t="s">
        <v>98</v>
      </c>
      <c r="I151" s="9"/>
      <c r="J151" s="8" t="s">
        <v>21</v>
      </c>
      <c r="K151" s="24" t="s">
        <v>323</v>
      </c>
      <c r="L151" s="9"/>
      <c r="M151" s="9">
        <v>450</v>
      </c>
      <c r="N151" s="9"/>
      <c r="O151" s="8" t="s">
        <v>324</v>
      </c>
      <c r="P151" s="9">
        <v>9</v>
      </c>
      <c r="Q151" s="9">
        <v>11.7</v>
      </c>
      <c r="R151" s="9">
        <v>4.0999999999999996</v>
      </c>
      <c r="S151" s="8" t="s">
        <v>24</v>
      </c>
    </row>
    <row r="152" spans="1:19" ht="15" customHeight="1" x14ac:dyDescent="0.25">
      <c r="A152" s="6">
        <v>274</v>
      </c>
      <c r="B152" s="6" t="s">
        <v>598</v>
      </c>
      <c r="C152" s="6" t="s">
        <v>626</v>
      </c>
      <c r="D152" s="7" t="s">
        <v>593</v>
      </c>
      <c r="E152" s="8" t="s">
        <v>405</v>
      </c>
      <c r="F152" s="9">
        <v>2021</v>
      </c>
      <c r="G152" s="8" t="s">
        <v>594</v>
      </c>
      <c r="H152" s="8" t="s">
        <v>98</v>
      </c>
      <c r="I152" s="9"/>
      <c r="J152" s="8" t="s">
        <v>21</v>
      </c>
      <c r="K152" s="32" t="s">
        <v>323</v>
      </c>
      <c r="L152" s="9"/>
      <c r="M152" s="9">
        <v>398</v>
      </c>
      <c r="N152" s="9"/>
      <c r="O152" s="8" t="s">
        <v>324</v>
      </c>
      <c r="P152" s="9">
        <v>5</v>
      </c>
      <c r="Q152" s="9">
        <v>10.37</v>
      </c>
      <c r="R152" s="9">
        <v>3.9</v>
      </c>
      <c r="S152" s="8" t="s">
        <v>24</v>
      </c>
    </row>
    <row r="153" spans="1:19" ht="15" customHeight="1" x14ac:dyDescent="0.25">
      <c r="A153" s="2">
        <v>4</v>
      </c>
      <c r="B153" s="2" t="s">
        <v>601</v>
      </c>
      <c r="C153" s="2" t="s">
        <v>620</v>
      </c>
      <c r="D153" s="3" t="s">
        <v>36</v>
      </c>
      <c r="E153" s="4" t="s">
        <v>30</v>
      </c>
      <c r="F153" s="5">
        <v>2015</v>
      </c>
      <c r="G153" s="4" t="s">
        <v>31</v>
      </c>
      <c r="H153" s="4" t="s">
        <v>26</v>
      </c>
      <c r="I153" s="5">
        <v>9682423</v>
      </c>
      <c r="J153" s="4" t="s">
        <v>37</v>
      </c>
      <c r="K153" s="29" t="s">
        <v>33</v>
      </c>
      <c r="L153" s="5">
        <v>4766</v>
      </c>
      <c r="M153" s="5">
        <v>12000</v>
      </c>
      <c r="N153" s="5">
        <v>90.4</v>
      </c>
      <c r="O153" s="4" t="s">
        <v>23</v>
      </c>
      <c r="P153" s="5">
        <v>11</v>
      </c>
      <c r="Q153" s="5">
        <v>86.95</v>
      </c>
      <c r="R153" s="5">
        <v>18.39</v>
      </c>
      <c r="S153" s="4" t="s">
        <v>38</v>
      </c>
    </row>
    <row r="154" spans="1:19" ht="15" customHeight="1" x14ac:dyDescent="0.25">
      <c r="A154" s="2">
        <v>10</v>
      </c>
      <c r="B154" s="2" t="s">
        <v>601</v>
      </c>
      <c r="C154" s="2" t="s">
        <v>621</v>
      </c>
      <c r="D154" s="3" t="s">
        <v>55</v>
      </c>
      <c r="E154" s="4" t="s">
        <v>56</v>
      </c>
      <c r="F154" s="5">
        <v>1998</v>
      </c>
      <c r="G154" s="4" t="s">
        <v>43</v>
      </c>
      <c r="H154" s="4" t="s">
        <v>26</v>
      </c>
      <c r="I154" s="5">
        <v>9171876</v>
      </c>
      <c r="J154" s="4" t="s">
        <v>44</v>
      </c>
      <c r="K154" s="29" t="s">
        <v>57</v>
      </c>
      <c r="L154" s="5">
        <v>3125</v>
      </c>
      <c r="M154" s="5">
        <v>12370</v>
      </c>
      <c r="N154" s="5">
        <v>186</v>
      </c>
      <c r="O154" s="4" t="s">
        <v>23</v>
      </c>
      <c r="P154" s="11">
        <v>28</v>
      </c>
      <c r="Q154" s="5">
        <v>80</v>
      </c>
      <c r="R154" s="5">
        <v>18</v>
      </c>
      <c r="S154" s="4" t="s">
        <v>38</v>
      </c>
    </row>
    <row r="155" spans="1:19" ht="15" customHeight="1" x14ac:dyDescent="0.25">
      <c r="A155" s="6">
        <v>218</v>
      </c>
      <c r="B155" s="6" t="s">
        <v>596</v>
      </c>
      <c r="C155" s="6"/>
      <c r="D155" s="7" t="s">
        <v>513</v>
      </c>
      <c r="E155" s="8" t="s">
        <v>514</v>
      </c>
      <c r="F155" s="9">
        <v>2001</v>
      </c>
      <c r="G155" s="8" t="s">
        <v>321</v>
      </c>
      <c r="H155" s="8" t="s">
        <v>322</v>
      </c>
      <c r="I155" s="9"/>
      <c r="J155" s="8" t="s">
        <v>136</v>
      </c>
      <c r="K155" s="24" t="s">
        <v>323</v>
      </c>
      <c r="L155" s="9"/>
      <c r="M155" s="9">
        <v>11</v>
      </c>
      <c r="N155" s="9"/>
      <c r="O155" s="8" t="s">
        <v>324</v>
      </c>
      <c r="P155" s="11">
        <v>25</v>
      </c>
      <c r="Q155" s="9">
        <v>3.8</v>
      </c>
      <c r="R155" s="9">
        <v>1.4</v>
      </c>
      <c r="S155" s="8" t="s">
        <v>268</v>
      </c>
    </row>
    <row r="156" spans="1:19" ht="15" customHeight="1" x14ac:dyDescent="0.25">
      <c r="A156" s="6">
        <v>219</v>
      </c>
      <c r="B156" s="6" t="s">
        <v>607</v>
      </c>
      <c r="C156" s="6" t="s">
        <v>621</v>
      </c>
      <c r="D156" s="7" t="s">
        <v>515</v>
      </c>
      <c r="E156" s="8" t="s">
        <v>516</v>
      </c>
      <c r="F156" s="9">
        <v>2021</v>
      </c>
      <c r="G156" s="8" t="s">
        <v>517</v>
      </c>
      <c r="H156" s="8" t="s">
        <v>98</v>
      </c>
      <c r="I156" s="9"/>
      <c r="J156" s="8" t="s">
        <v>136</v>
      </c>
      <c r="K156" s="24" t="s">
        <v>323</v>
      </c>
      <c r="L156" s="9"/>
      <c r="M156" s="9">
        <v>368</v>
      </c>
      <c r="N156" s="9"/>
      <c r="O156" s="8" t="s">
        <v>324</v>
      </c>
      <c r="P156" s="9">
        <v>5</v>
      </c>
      <c r="Q156" s="9">
        <v>14.89</v>
      </c>
      <c r="R156" s="9">
        <v>4.1399999999999997</v>
      </c>
      <c r="S156" s="8" t="s">
        <v>268</v>
      </c>
    </row>
    <row r="157" spans="1:19" ht="15" customHeight="1" x14ac:dyDescent="0.25">
      <c r="A157" s="2">
        <v>19</v>
      </c>
      <c r="B157" s="2" t="s">
        <v>609</v>
      </c>
      <c r="C157" s="2" t="s">
        <v>626</v>
      </c>
      <c r="D157" s="3" t="s">
        <v>84</v>
      </c>
      <c r="E157" s="4" t="s">
        <v>78</v>
      </c>
      <c r="F157" s="5">
        <v>1987</v>
      </c>
      <c r="G157" s="4" t="s">
        <v>82</v>
      </c>
      <c r="H157" s="4" t="s">
        <v>26</v>
      </c>
      <c r="I157" s="5">
        <v>8418459</v>
      </c>
      <c r="J157" s="4" t="s">
        <v>21</v>
      </c>
      <c r="K157" s="29" t="s">
        <v>83</v>
      </c>
      <c r="L157" s="5">
        <v>2723</v>
      </c>
      <c r="M157" s="5">
        <v>5300</v>
      </c>
      <c r="N157" s="5">
        <v>82.1</v>
      </c>
      <c r="O157" s="4" t="s">
        <v>23</v>
      </c>
      <c r="P157" s="12">
        <v>39</v>
      </c>
      <c r="Q157" s="5">
        <v>81.37</v>
      </c>
      <c r="R157" s="5">
        <v>15.96</v>
      </c>
      <c r="S157" s="4" t="s">
        <v>24</v>
      </c>
    </row>
    <row r="158" spans="1:19" ht="15" customHeight="1" x14ac:dyDescent="0.25">
      <c r="A158" s="6">
        <v>220</v>
      </c>
      <c r="B158" s="6" t="s">
        <v>597</v>
      </c>
      <c r="C158" s="6" t="s">
        <v>619</v>
      </c>
      <c r="D158" s="7" t="s">
        <v>518</v>
      </c>
      <c r="E158" s="8" t="s">
        <v>484</v>
      </c>
      <c r="F158" s="9">
        <v>2013</v>
      </c>
      <c r="G158" s="8" t="s">
        <v>509</v>
      </c>
      <c r="H158" s="8" t="s">
        <v>98</v>
      </c>
      <c r="I158" s="9"/>
      <c r="J158" s="8" t="s">
        <v>64</v>
      </c>
      <c r="K158" s="32" t="s">
        <v>323</v>
      </c>
      <c r="L158" s="9"/>
      <c r="M158" s="9">
        <v>110</v>
      </c>
      <c r="N158" s="9"/>
      <c r="O158" s="8" t="s">
        <v>324</v>
      </c>
      <c r="P158" s="9">
        <v>13</v>
      </c>
      <c r="Q158" s="9">
        <v>7.5</v>
      </c>
      <c r="R158" s="9">
        <v>2.6</v>
      </c>
      <c r="S158" s="8" t="s">
        <v>65</v>
      </c>
    </row>
    <row r="159" spans="1:19" ht="15" customHeight="1" x14ac:dyDescent="0.25">
      <c r="A159" s="6">
        <v>221</v>
      </c>
      <c r="B159" s="6" t="s">
        <v>608</v>
      </c>
      <c r="C159" s="6" t="s">
        <v>619</v>
      </c>
      <c r="D159" s="7" t="s">
        <v>519</v>
      </c>
      <c r="E159" s="8">
        <v>14054</v>
      </c>
      <c r="F159" s="9">
        <v>2017</v>
      </c>
      <c r="G159" s="8" t="s">
        <v>240</v>
      </c>
      <c r="H159" s="8" t="s">
        <v>98</v>
      </c>
      <c r="I159" s="9"/>
      <c r="J159" s="8" t="s">
        <v>64</v>
      </c>
      <c r="K159" s="32" t="s">
        <v>323</v>
      </c>
      <c r="L159" s="9"/>
      <c r="M159" s="9">
        <v>175</v>
      </c>
      <c r="N159" s="9"/>
      <c r="O159" s="8" t="s">
        <v>324</v>
      </c>
      <c r="P159" s="9">
        <v>9</v>
      </c>
      <c r="Q159" s="9">
        <v>14</v>
      </c>
      <c r="R159" s="9">
        <v>5.4</v>
      </c>
      <c r="S159" s="8" t="s">
        <v>65</v>
      </c>
    </row>
    <row r="160" spans="1:19" ht="15" customHeight="1" x14ac:dyDescent="0.25">
      <c r="A160" s="6">
        <v>127</v>
      </c>
      <c r="B160" s="6" t="s">
        <v>597</v>
      </c>
      <c r="C160" s="6" t="s">
        <v>619</v>
      </c>
      <c r="D160" s="7" t="s">
        <v>338</v>
      </c>
      <c r="E160" s="8" t="s">
        <v>336</v>
      </c>
      <c r="F160" s="9">
        <v>2021</v>
      </c>
      <c r="G160" s="8" t="s">
        <v>329</v>
      </c>
      <c r="H160" s="8" t="s">
        <v>98</v>
      </c>
      <c r="I160" s="9"/>
      <c r="J160" s="8" t="s">
        <v>64</v>
      </c>
      <c r="K160" s="32" t="s">
        <v>337</v>
      </c>
      <c r="L160" s="9">
        <v>56</v>
      </c>
      <c r="M160" s="9">
        <v>1176</v>
      </c>
      <c r="N160" s="9"/>
      <c r="O160" s="8" t="s">
        <v>127</v>
      </c>
      <c r="P160" s="9">
        <v>5</v>
      </c>
      <c r="Q160" s="9">
        <v>19.829999999999998</v>
      </c>
      <c r="R160" s="9">
        <v>5</v>
      </c>
      <c r="S160" s="8" t="s">
        <v>65</v>
      </c>
    </row>
    <row r="161" spans="1:19" ht="15" customHeight="1" x14ac:dyDescent="0.25">
      <c r="A161" s="13">
        <v>85</v>
      </c>
      <c r="B161" s="13" t="s">
        <v>599</v>
      </c>
      <c r="C161" s="13" t="s">
        <v>619</v>
      </c>
      <c r="D161" s="14" t="s">
        <v>242</v>
      </c>
      <c r="E161" s="15" t="s">
        <v>243</v>
      </c>
      <c r="F161" s="16">
        <v>2022</v>
      </c>
      <c r="G161" s="15" t="s">
        <v>35</v>
      </c>
      <c r="H161" s="15" t="s">
        <v>98</v>
      </c>
      <c r="I161" s="16">
        <v>9912775</v>
      </c>
      <c r="J161" s="15" t="s">
        <v>64</v>
      </c>
      <c r="K161" s="31" t="s">
        <v>244</v>
      </c>
      <c r="L161" s="16">
        <v>232</v>
      </c>
      <c r="M161" s="16">
        <v>1268</v>
      </c>
      <c r="N161" s="16">
        <v>19.760000000000002</v>
      </c>
      <c r="O161" s="15" t="s">
        <v>109</v>
      </c>
      <c r="P161" s="16">
        <v>4</v>
      </c>
      <c r="Q161" s="16">
        <v>26.81</v>
      </c>
      <c r="R161" s="16">
        <v>9.5</v>
      </c>
      <c r="S161" s="15" t="s">
        <v>65</v>
      </c>
    </row>
    <row r="162" spans="1:19" ht="15" customHeight="1" x14ac:dyDescent="0.25">
      <c r="A162" s="6">
        <v>145</v>
      </c>
      <c r="B162" s="6" t="s">
        <v>608</v>
      </c>
      <c r="C162" s="6" t="s">
        <v>625</v>
      </c>
      <c r="D162" s="7" t="s">
        <v>372</v>
      </c>
      <c r="E162" s="8">
        <v>25505</v>
      </c>
      <c r="F162" s="9">
        <v>1989</v>
      </c>
      <c r="G162" s="8" t="s">
        <v>373</v>
      </c>
      <c r="H162" s="8" t="s">
        <v>98</v>
      </c>
      <c r="I162" s="9"/>
      <c r="J162" s="8" t="s">
        <v>73</v>
      </c>
      <c r="K162" s="32" t="s">
        <v>374</v>
      </c>
      <c r="L162" s="9">
        <v>36</v>
      </c>
      <c r="M162" s="9">
        <v>99</v>
      </c>
      <c r="N162" s="9"/>
      <c r="O162" s="8" t="s">
        <v>127</v>
      </c>
      <c r="P162" s="12">
        <v>37</v>
      </c>
      <c r="Q162" s="9">
        <v>18.95</v>
      </c>
      <c r="R162" s="9">
        <v>4.5</v>
      </c>
      <c r="S162" s="8" t="s">
        <v>76</v>
      </c>
    </row>
    <row r="163" spans="1:19" ht="15" customHeight="1" x14ac:dyDescent="0.25">
      <c r="A163" s="6">
        <v>120</v>
      </c>
      <c r="B163" s="6" t="s">
        <v>608</v>
      </c>
      <c r="C163" s="6" t="s">
        <v>621</v>
      </c>
      <c r="D163" s="7" t="s">
        <v>325</v>
      </c>
      <c r="E163" s="8">
        <v>25505</v>
      </c>
      <c r="F163" s="9">
        <v>1990</v>
      </c>
      <c r="G163" s="8" t="s">
        <v>240</v>
      </c>
      <c r="H163" s="8" t="s">
        <v>72</v>
      </c>
      <c r="I163" s="9"/>
      <c r="J163" s="8" t="s">
        <v>136</v>
      </c>
      <c r="K163" s="32" t="s">
        <v>326</v>
      </c>
      <c r="L163" s="9">
        <v>65</v>
      </c>
      <c r="M163" s="9">
        <v>99</v>
      </c>
      <c r="N163" s="9"/>
      <c r="O163" s="8" t="s">
        <v>159</v>
      </c>
      <c r="P163" s="12">
        <v>36</v>
      </c>
      <c r="Q163" s="9">
        <v>18.95</v>
      </c>
      <c r="R163" s="9">
        <v>4.5</v>
      </c>
      <c r="S163" s="8" t="s">
        <v>268</v>
      </c>
    </row>
    <row r="164" spans="1:19" ht="15" customHeight="1" x14ac:dyDescent="0.25">
      <c r="A164" s="6">
        <v>222</v>
      </c>
      <c r="B164" s="6" t="s">
        <v>608</v>
      </c>
      <c r="C164" s="6" t="s">
        <v>621</v>
      </c>
      <c r="D164" s="7" t="s">
        <v>614</v>
      </c>
      <c r="E164" s="8" t="s">
        <v>520</v>
      </c>
      <c r="F164" s="9">
        <v>2019</v>
      </c>
      <c r="G164" s="8" t="s">
        <v>240</v>
      </c>
      <c r="H164" s="8" t="s">
        <v>98</v>
      </c>
      <c r="I164" s="9"/>
      <c r="J164" s="8" t="s">
        <v>27</v>
      </c>
      <c r="K164" s="32" t="s">
        <v>323</v>
      </c>
      <c r="L164" s="9"/>
      <c r="M164" s="9">
        <v>175</v>
      </c>
      <c r="N164" s="9"/>
      <c r="O164" s="8" t="s">
        <v>324</v>
      </c>
      <c r="P164" s="9">
        <v>7</v>
      </c>
      <c r="Q164" s="9">
        <v>14</v>
      </c>
      <c r="R164" s="9">
        <v>5.4</v>
      </c>
      <c r="S164" s="8" t="s">
        <v>28</v>
      </c>
    </row>
    <row r="165" spans="1:19" ht="15" customHeight="1" x14ac:dyDescent="0.25">
      <c r="A165" s="6">
        <v>130</v>
      </c>
      <c r="B165" s="6" t="s">
        <v>599</v>
      </c>
      <c r="C165" s="6" t="s">
        <v>623</v>
      </c>
      <c r="D165" s="7" t="s">
        <v>343</v>
      </c>
      <c r="E165" s="8">
        <v>1198</v>
      </c>
      <c r="F165" s="9">
        <v>1988</v>
      </c>
      <c r="G165" s="8" t="s">
        <v>35</v>
      </c>
      <c r="H165" s="8" t="s">
        <v>98</v>
      </c>
      <c r="I165" s="9"/>
      <c r="J165" s="8" t="s">
        <v>210</v>
      </c>
      <c r="K165" s="32" t="s">
        <v>344</v>
      </c>
      <c r="L165" s="9">
        <v>52</v>
      </c>
      <c r="M165" s="9">
        <v>220</v>
      </c>
      <c r="N165" s="9"/>
      <c r="O165" s="8" t="s">
        <v>127</v>
      </c>
      <c r="P165" s="12">
        <v>38</v>
      </c>
      <c r="Q165" s="9">
        <v>18.600000000000001</v>
      </c>
      <c r="R165" s="9">
        <v>6</v>
      </c>
      <c r="S165" s="8" t="s">
        <v>212</v>
      </c>
    </row>
    <row r="166" spans="1:19" ht="15" customHeight="1" x14ac:dyDescent="0.25">
      <c r="A166" s="6">
        <v>223</v>
      </c>
      <c r="B166" s="6" t="s">
        <v>596</v>
      </c>
      <c r="C166" s="6"/>
      <c r="D166" s="7" t="s">
        <v>521</v>
      </c>
      <c r="E166" s="8" t="s">
        <v>504</v>
      </c>
      <c r="F166" s="9">
        <v>2021</v>
      </c>
      <c r="G166" s="8" t="s">
        <v>321</v>
      </c>
      <c r="H166" s="8" t="s">
        <v>322</v>
      </c>
      <c r="I166" s="9"/>
      <c r="J166" s="8" t="s">
        <v>27</v>
      </c>
      <c r="K166" s="24" t="s">
        <v>323</v>
      </c>
      <c r="L166" s="9"/>
      <c r="M166" s="9">
        <v>11</v>
      </c>
      <c r="N166" s="9"/>
      <c r="O166" s="8" t="s">
        <v>324</v>
      </c>
      <c r="P166" s="9">
        <v>5</v>
      </c>
      <c r="Q166" s="9">
        <v>4.5</v>
      </c>
      <c r="R166" s="9">
        <v>1.6</v>
      </c>
      <c r="S166" s="8" t="s">
        <v>28</v>
      </c>
    </row>
    <row r="167" spans="1:19" ht="15" customHeight="1" x14ac:dyDescent="0.25">
      <c r="A167" s="2">
        <v>20</v>
      </c>
      <c r="B167" s="2" t="s">
        <v>609</v>
      </c>
      <c r="C167" s="2" t="s">
        <v>622</v>
      </c>
      <c r="D167" s="3" t="s">
        <v>85</v>
      </c>
      <c r="E167" s="4" t="s">
        <v>78</v>
      </c>
      <c r="F167" s="5">
        <v>1990</v>
      </c>
      <c r="G167" s="4" t="s">
        <v>82</v>
      </c>
      <c r="H167" s="4" t="s">
        <v>26</v>
      </c>
      <c r="I167" s="5">
        <v>8418590</v>
      </c>
      <c r="J167" s="4" t="s">
        <v>32</v>
      </c>
      <c r="K167" s="29" t="s">
        <v>86</v>
      </c>
      <c r="L167" s="5">
        <v>2684</v>
      </c>
      <c r="M167" s="5">
        <v>5300</v>
      </c>
      <c r="N167" s="5">
        <v>82.6</v>
      </c>
      <c r="O167" s="4" t="s">
        <v>23</v>
      </c>
      <c r="P167" s="12">
        <v>36</v>
      </c>
      <c r="Q167" s="5">
        <v>81.37</v>
      </c>
      <c r="R167" s="5">
        <v>15.96</v>
      </c>
      <c r="S167" s="4" t="s">
        <v>34</v>
      </c>
    </row>
    <row r="168" spans="1:19" ht="15" customHeight="1" x14ac:dyDescent="0.25">
      <c r="A168" s="6">
        <v>224</v>
      </c>
      <c r="B168" s="6" t="s">
        <v>602</v>
      </c>
      <c r="C168" s="6"/>
      <c r="D168" s="7" t="s">
        <v>522</v>
      </c>
      <c r="E168" s="8">
        <v>712</v>
      </c>
      <c r="F168" s="9">
        <v>1991</v>
      </c>
      <c r="G168" s="8" t="s">
        <v>523</v>
      </c>
      <c r="H168" s="8" t="s">
        <v>72</v>
      </c>
      <c r="I168" s="9"/>
      <c r="J168" s="8" t="s">
        <v>260</v>
      </c>
      <c r="K168" s="24" t="s">
        <v>155</v>
      </c>
      <c r="L168" s="9"/>
      <c r="M168" s="9"/>
      <c r="N168" s="9"/>
      <c r="O168" s="8" t="s">
        <v>75</v>
      </c>
      <c r="P168" s="12">
        <v>35</v>
      </c>
      <c r="Q168" s="9">
        <v>28.6</v>
      </c>
      <c r="R168" s="9">
        <v>10</v>
      </c>
      <c r="S168" s="8" t="s">
        <v>65</v>
      </c>
    </row>
    <row r="169" spans="1:19" ht="15" customHeight="1" x14ac:dyDescent="0.25">
      <c r="A169" s="13">
        <v>60</v>
      </c>
      <c r="B169" s="13" t="s">
        <v>599</v>
      </c>
      <c r="C169" s="13" t="s">
        <v>620</v>
      </c>
      <c r="D169" s="14" t="s">
        <v>184</v>
      </c>
      <c r="E169" s="15" t="s">
        <v>185</v>
      </c>
      <c r="F169" s="16">
        <v>2016</v>
      </c>
      <c r="G169" s="15" t="s">
        <v>35</v>
      </c>
      <c r="H169" s="15" t="s">
        <v>98</v>
      </c>
      <c r="I169" s="16">
        <v>9794628</v>
      </c>
      <c r="J169" s="15" t="s">
        <v>37</v>
      </c>
      <c r="K169" s="31" t="s">
        <v>186</v>
      </c>
      <c r="L169" s="16">
        <v>398</v>
      </c>
      <c r="M169" s="16">
        <v>1194</v>
      </c>
      <c r="N169" s="16">
        <v>16.86</v>
      </c>
      <c r="O169" s="15" t="s">
        <v>141</v>
      </c>
      <c r="P169" s="16">
        <v>10</v>
      </c>
      <c r="Q169" s="16">
        <v>31.73</v>
      </c>
      <c r="R169" s="16">
        <v>9.1</v>
      </c>
      <c r="S169" s="15" t="s">
        <v>38</v>
      </c>
    </row>
    <row r="170" spans="1:19" ht="15" customHeight="1" x14ac:dyDescent="0.25">
      <c r="A170" s="13">
        <v>70</v>
      </c>
      <c r="B170" s="13" t="s">
        <v>599</v>
      </c>
      <c r="C170" s="13" t="s">
        <v>623</v>
      </c>
      <c r="D170" s="14" t="s">
        <v>208</v>
      </c>
      <c r="E170" s="15" t="s">
        <v>209</v>
      </c>
      <c r="F170" s="16">
        <v>2024</v>
      </c>
      <c r="G170" s="15" t="s">
        <v>35</v>
      </c>
      <c r="H170" s="15" t="s">
        <v>98</v>
      </c>
      <c r="I170" s="16">
        <v>9982782</v>
      </c>
      <c r="J170" s="15" t="s">
        <v>210</v>
      </c>
      <c r="K170" s="34" t="s">
        <v>211</v>
      </c>
      <c r="L170" s="16">
        <v>299</v>
      </c>
      <c r="M170" s="16">
        <v>1492</v>
      </c>
      <c r="N170" s="16">
        <v>27</v>
      </c>
      <c r="O170" s="15" t="s">
        <v>141</v>
      </c>
      <c r="P170" s="16">
        <v>2</v>
      </c>
      <c r="Q170" s="16">
        <v>29</v>
      </c>
      <c r="R170" s="16">
        <v>10</v>
      </c>
      <c r="S170" s="15" t="s">
        <v>212</v>
      </c>
    </row>
    <row r="171" spans="1:19" ht="15" customHeight="1" x14ac:dyDescent="0.25">
      <c r="A171" s="6">
        <v>225</v>
      </c>
      <c r="B171" s="6" t="s">
        <v>602</v>
      </c>
      <c r="C171" s="6"/>
      <c r="D171" s="7" t="s">
        <v>524</v>
      </c>
      <c r="E171" s="8" t="s">
        <v>525</v>
      </c>
      <c r="F171" s="9">
        <v>1991</v>
      </c>
      <c r="G171" s="8" t="s">
        <v>526</v>
      </c>
      <c r="H171" s="8" t="s">
        <v>98</v>
      </c>
      <c r="I171" s="9"/>
      <c r="J171" s="8" t="s">
        <v>64</v>
      </c>
      <c r="K171" s="24" t="s">
        <v>323</v>
      </c>
      <c r="L171" s="9"/>
      <c r="M171" s="9">
        <v>110</v>
      </c>
      <c r="N171" s="9"/>
      <c r="O171" s="8" t="s">
        <v>396</v>
      </c>
      <c r="P171" s="12">
        <v>35</v>
      </c>
      <c r="Q171" s="9">
        <v>16.5</v>
      </c>
      <c r="R171" s="9">
        <v>4.7</v>
      </c>
      <c r="S171" s="8" t="s">
        <v>65</v>
      </c>
    </row>
    <row r="172" spans="1:19" ht="15" customHeight="1" x14ac:dyDescent="0.25">
      <c r="A172" s="2">
        <v>15</v>
      </c>
      <c r="B172" s="2" t="s">
        <v>601</v>
      </c>
      <c r="C172" s="2" t="s">
        <v>621</v>
      </c>
      <c r="D172" s="3" t="s">
        <v>68</v>
      </c>
      <c r="E172" s="4" t="s">
        <v>61</v>
      </c>
      <c r="F172" s="5">
        <v>2022</v>
      </c>
      <c r="G172" s="4" t="s">
        <v>31</v>
      </c>
      <c r="H172" s="4" t="s">
        <v>26</v>
      </c>
      <c r="I172" s="5">
        <v>9797606</v>
      </c>
      <c r="J172" s="4" t="s">
        <v>44</v>
      </c>
      <c r="K172" s="29" t="s">
        <v>62</v>
      </c>
      <c r="L172" s="5">
        <v>3030</v>
      </c>
      <c r="M172" s="5">
        <v>5220</v>
      </c>
      <c r="N172" s="5">
        <v>50.7</v>
      </c>
      <c r="O172" s="4" t="s">
        <v>23</v>
      </c>
      <c r="P172" s="5">
        <v>4</v>
      </c>
      <c r="Q172" s="5">
        <v>79.599999999999994</v>
      </c>
      <c r="R172" s="5">
        <v>16.8</v>
      </c>
      <c r="S172" s="4" t="s">
        <v>28</v>
      </c>
    </row>
    <row r="173" spans="1:19" ht="15" customHeight="1" x14ac:dyDescent="0.25">
      <c r="A173" s="6">
        <v>75</v>
      </c>
      <c r="B173" s="6" t="s">
        <v>610</v>
      </c>
      <c r="C173" s="6"/>
      <c r="D173" s="7" t="s">
        <v>217</v>
      </c>
      <c r="E173" s="8" t="s">
        <v>218</v>
      </c>
      <c r="F173" s="9">
        <v>1982</v>
      </c>
      <c r="G173" s="8" t="s">
        <v>124</v>
      </c>
      <c r="H173" s="8" t="s">
        <v>72</v>
      </c>
      <c r="I173" s="9"/>
      <c r="J173" s="8" t="s">
        <v>178</v>
      </c>
      <c r="K173" s="24" t="s">
        <v>155</v>
      </c>
      <c r="L173" s="9">
        <v>290</v>
      </c>
      <c r="M173" s="9">
        <v>243</v>
      </c>
      <c r="N173" s="9"/>
      <c r="O173" s="8" t="s">
        <v>75</v>
      </c>
      <c r="P173" s="12">
        <v>44</v>
      </c>
      <c r="Q173" s="9">
        <v>28.6</v>
      </c>
      <c r="R173" s="9">
        <v>12</v>
      </c>
      <c r="S173" s="8" t="s">
        <v>28</v>
      </c>
    </row>
    <row r="174" spans="1:19" ht="15" customHeight="1" x14ac:dyDescent="0.25">
      <c r="A174" s="6">
        <v>57</v>
      </c>
      <c r="B174" s="6" t="s">
        <v>610</v>
      </c>
      <c r="C174" s="6"/>
      <c r="D174" s="7" t="s">
        <v>177</v>
      </c>
      <c r="E174" s="8" t="s">
        <v>172</v>
      </c>
      <c r="F174" s="9">
        <v>1986</v>
      </c>
      <c r="G174" s="8" t="s">
        <v>124</v>
      </c>
      <c r="H174" s="8" t="s">
        <v>72</v>
      </c>
      <c r="I174" s="9"/>
      <c r="J174" s="8" t="s">
        <v>178</v>
      </c>
      <c r="K174" s="24" t="s">
        <v>155</v>
      </c>
      <c r="L174" s="9">
        <v>439.7</v>
      </c>
      <c r="M174" s="9">
        <v>335</v>
      </c>
      <c r="N174" s="9"/>
      <c r="O174" s="8" t="s">
        <v>75</v>
      </c>
      <c r="P174" s="12">
        <v>40</v>
      </c>
      <c r="Q174" s="9">
        <v>32.5</v>
      </c>
      <c r="R174" s="9">
        <v>15.2</v>
      </c>
      <c r="S174" s="8" t="s">
        <v>28</v>
      </c>
    </row>
    <row r="175" spans="1:19" ht="15" customHeight="1" x14ac:dyDescent="0.25">
      <c r="A175" s="6">
        <v>35</v>
      </c>
      <c r="B175" s="6" t="s">
        <v>610</v>
      </c>
      <c r="C175" s="6"/>
      <c r="D175" s="7" t="s">
        <v>128</v>
      </c>
      <c r="E175" s="8" t="s">
        <v>123</v>
      </c>
      <c r="F175" s="9">
        <v>1974</v>
      </c>
      <c r="G175" s="8" t="s">
        <v>129</v>
      </c>
      <c r="H175" s="8" t="s">
        <v>72</v>
      </c>
      <c r="I175" s="9"/>
      <c r="J175" s="8" t="s">
        <v>107</v>
      </c>
      <c r="K175" s="24" t="s">
        <v>126</v>
      </c>
      <c r="L175" s="9">
        <v>1133</v>
      </c>
      <c r="M175" s="9"/>
      <c r="N175" s="9"/>
      <c r="O175" s="8" t="s">
        <v>127</v>
      </c>
      <c r="P175" s="12">
        <v>52</v>
      </c>
      <c r="Q175" s="9">
        <v>74.150000000000006</v>
      </c>
      <c r="R175" s="9">
        <v>19.45</v>
      </c>
      <c r="S175" s="8" t="s">
        <v>110</v>
      </c>
    </row>
    <row r="176" spans="1:19" ht="15" customHeight="1" x14ac:dyDescent="0.25">
      <c r="A176" s="6">
        <v>54</v>
      </c>
      <c r="B176" s="6" t="s">
        <v>610</v>
      </c>
      <c r="C176" s="6"/>
      <c r="D176" s="7" t="s">
        <v>174</v>
      </c>
      <c r="E176" s="8" t="s">
        <v>172</v>
      </c>
      <c r="F176" s="9">
        <v>1982</v>
      </c>
      <c r="G176" s="8" t="s">
        <v>124</v>
      </c>
      <c r="H176" s="8" t="s">
        <v>72</v>
      </c>
      <c r="I176" s="9"/>
      <c r="J176" s="8" t="s">
        <v>107</v>
      </c>
      <c r="K176" s="24" t="s">
        <v>155</v>
      </c>
      <c r="L176" s="9">
        <v>453</v>
      </c>
      <c r="M176" s="9">
        <v>540</v>
      </c>
      <c r="N176" s="9"/>
      <c r="O176" s="8" t="s">
        <v>75</v>
      </c>
      <c r="P176" s="12">
        <v>44</v>
      </c>
      <c r="Q176" s="9">
        <v>51.8</v>
      </c>
      <c r="R176" s="9">
        <v>16</v>
      </c>
      <c r="S176" s="8" t="s">
        <v>110</v>
      </c>
    </row>
    <row r="177" spans="1:19" ht="15" customHeight="1" x14ac:dyDescent="0.25">
      <c r="A177" s="6">
        <v>44</v>
      </c>
      <c r="B177" s="6" t="s">
        <v>610</v>
      </c>
      <c r="C177" s="6"/>
      <c r="D177" s="7" t="s">
        <v>152</v>
      </c>
      <c r="E177" s="8">
        <v>721</v>
      </c>
      <c r="F177" s="9">
        <v>1970</v>
      </c>
      <c r="G177" s="8" t="s">
        <v>153</v>
      </c>
      <c r="H177" s="8" t="s">
        <v>72</v>
      </c>
      <c r="I177" s="9"/>
      <c r="J177" s="8" t="s">
        <v>154</v>
      </c>
      <c r="K177" s="24" t="s">
        <v>155</v>
      </c>
      <c r="L177" s="9">
        <v>496</v>
      </c>
      <c r="M177" s="9">
        <v>486</v>
      </c>
      <c r="N177" s="9"/>
      <c r="O177" s="8" t="s">
        <v>75</v>
      </c>
      <c r="P177" s="12">
        <v>56</v>
      </c>
      <c r="Q177" s="9">
        <v>32.22</v>
      </c>
      <c r="R177" s="9">
        <v>15.82</v>
      </c>
      <c r="S177" s="8" t="s">
        <v>65</v>
      </c>
    </row>
    <row r="178" spans="1:19" ht="15" customHeight="1" x14ac:dyDescent="0.25">
      <c r="A178" s="6">
        <v>226</v>
      </c>
      <c r="B178" s="6" t="s">
        <v>610</v>
      </c>
      <c r="C178" s="6"/>
      <c r="D178" s="7" t="s">
        <v>527</v>
      </c>
      <c r="E178" s="8">
        <v>81040</v>
      </c>
      <c r="F178" s="9">
        <v>1987</v>
      </c>
      <c r="G178" s="8" t="s">
        <v>153</v>
      </c>
      <c r="H178" s="8" t="s">
        <v>72</v>
      </c>
      <c r="I178" s="9"/>
      <c r="J178" s="8" t="s">
        <v>154</v>
      </c>
      <c r="K178" s="24" t="s">
        <v>280</v>
      </c>
      <c r="L178" s="9"/>
      <c r="M178" s="9">
        <v>242</v>
      </c>
      <c r="N178" s="9"/>
      <c r="O178" s="8" t="s">
        <v>75</v>
      </c>
      <c r="P178" s="12">
        <v>39</v>
      </c>
      <c r="Q178" s="9">
        <v>28.6</v>
      </c>
      <c r="R178" s="9">
        <v>12</v>
      </c>
      <c r="S178" s="8" t="s">
        <v>65</v>
      </c>
    </row>
    <row r="179" spans="1:19" ht="15" customHeight="1" x14ac:dyDescent="0.25">
      <c r="A179" s="6">
        <v>45</v>
      </c>
      <c r="B179" s="6" t="s">
        <v>610</v>
      </c>
      <c r="C179" s="6"/>
      <c r="D179" s="7" t="s">
        <v>156</v>
      </c>
      <c r="E179" s="8">
        <v>721</v>
      </c>
      <c r="F179" s="9">
        <v>1972</v>
      </c>
      <c r="G179" s="8" t="s">
        <v>124</v>
      </c>
      <c r="H179" s="8" t="s">
        <v>72</v>
      </c>
      <c r="I179" s="9"/>
      <c r="J179" s="8" t="s">
        <v>107</v>
      </c>
      <c r="K179" s="24" t="s">
        <v>155</v>
      </c>
      <c r="L179" s="9">
        <v>494</v>
      </c>
      <c r="M179" s="9">
        <v>485</v>
      </c>
      <c r="N179" s="9"/>
      <c r="O179" s="8" t="s">
        <v>75</v>
      </c>
      <c r="P179" s="12">
        <v>54</v>
      </c>
      <c r="Q179" s="9">
        <v>32</v>
      </c>
      <c r="R179" s="9">
        <v>15.6</v>
      </c>
      <c r="S179" s="8" t="s">
        <v>110</v>
      </c>
    </row>
    <row r="180" spans="1:19" ht="15" customHeight="1" x14ac:dyDescent="0.25">
      <c r="A180" s="6">
        <v>76</v>
      </c>
      <c r="B180" s="6" t="s">
        <v>610</v>
      </c>
      <c r="C180" s="6"/>
      <c r="D180" s="7" t="s">
        <v>219</v>
      </c>
      <c r="E180" s="8">
        <v>81040</v>
      </c>
      <c r="F180" s="9">
        <v>1985</v>
      </c>
      <c r="G180" s="8" t="s">
        <v>124</v>
      </c>
      <c r="H180" s="8" t="s">
        <v>72</v>
      </c>
      <c r="I180" s="9"/>
      <c r="J180" s="8" t="s">
        <v>107</v>
      </c>
      <c r="K180" s="24" t="s">
        <v>146</v>
      </c>
      <c r="L180" s="9">
        <v>290</v>
      </c>
      <c r="M180" s="9">
        <v>220</v>
      </c>
      <c r="N180" s="9"/>
      <c r="O180" s="8" t="s">
        <v>75</v>
      </c>
      <c r="P180" s="12">
        <v>41</v>
      </c>
      <c r="Q180" s="9">
        <v>28.6</v>
      </c>
      <c r="R180" s="9">
        <v>12</v>
      </c>
      <c r="S180" s="8" t="s">
        <v>110</v>
      </c>
    </row>
    <row r="181" spans="1:19" ht="15" customHeight="1" x14ac:dyDescent="0.25">
      <c r="A181" s="6">
        <v>227</v>
      </c>
      <c r="B181" s="6" t="s">
        <v>610</v>
      </c>
      <c r="C181" s="6"/>
      <c r="D181" s="7" t="s">
        <v>528</v>
      </c>
      <c r="E181" s="8" t="s">
        <v>529</v>
      </c>
      <c r="F181" s="9">
        <v>1986</v>
      </c>
      <c r="G181" s="8" t="s">
        <v>124</v>
      </c>
      <c r="H181" s="8" t="s">
        <v>72</v>
      </c>
      <c r="I181" s="9"/>
      <c r="J181" s="8" t="s">
        <v>107</v>
      </c>
      <c r="K181" s="24" t="s">
        <v>146</v>
      </c>
      <c r="L181" s="9"/>
      <c r="M181" s="9"/>
      <c r="N181" s="9"/>
      <c r="O181" s="8" t="s">
        <v>75</v>
      </c>
      <c r="P181" s="12">
        <v>40</v>
      </c>
      <c r="Q181" s="9">
        <v>37.35</v>
      </c>
      <c r="R181" s="9">
        <v>11</v>
      </c>
      <c r="S181" s="8" t="s">
        <v>110</v>
      </c>
    </row>
    <row r="182" spans="1:19" ht="15" customHeight="1" x14ac:dyDescent="0.25">
      <c r="A182" s="6">
        <v>55</v>
      </c>
      <c r="B182" s="6" t="s">
        <v>610</v>
      </c>
      <c r="C182" s="6"/>
      <c r="D182" s="7" t="s">
        <v>175</v>
      </c>
      <c r="E182" s="8">
        <v>81050</v>
      </c>
      <c r="F182" s="9">
        <v>1989</v>
      </c>
      <c r="G182" s="8" t="s">
        <v>124</v>
      </c>
      <c r="H182" s="8" t="s">
        <v>72</v>
      </c>
      <c r="I182" s="9"/>
      <c r="J182" s="8" t="s">
        <v>125</v>
      </c>
      <c r="K182" s="24" t="s">
        <v>146</v>
      </c>
      <c r="L182" s="9">
        <v>453</v>
      </c>
      <c r="M182" s="9">
        <v>330</v>
      </c>
      <c r="N182" s="9"/>
      <c r="O182" s="8" t="s">
        <v>75</v>
      </c>
      <c r="P182" s="12">
        <v>37</v>
      </c>
      <c r="Q182" s="9">
        <v>51.8</v>
      </c>
      <c r="R182" s="9">
        <v>16</v>
      </c>
      <c r="S182" s="8" t="s">
        <v>76</v>
      </c>
    </row>
    <row r="183" spans="1:19" ht="15" customHeight="1" x14ac:dyDescent="0.25">
      <c r="A183" s="6">
        <v>53</v>
      </c>
      <c r="B183" s="6" t="s">
        <v>610</v>
      </c>
      <c r="C183" s="6"/>
      <c r="D183" s="7" t="s">
        <v>173</v>
      </c>
      <c r="E183" s="8" t="s">
        <v>172</v>
      </c>
      <c r="F183" s="9">
        <v>1984</v>
      </c>
      <c r="G183" s="8" t="s">
        <v>153</v>
      </c>
      <c r="H183" s="8" t="s">
        <v>72</v>
      </c>
      <c r="I183" s="9"/>
      <c r="J183" s="8" t="s">
        <v>154</v>
      </c>
      <c r="K183" s="24" t="s">
        <v>155</v>
      </c>
      <c r="L183" s="9">
        <v>453.3</v>
      </c>
      <c r="M183" s="9">
        <v>335</v>
      </c>
      <c r="N183" s="9"/>
      <c r="O183" s="8" t="s">
        <v>75</v>
      </c>
      <c r="P183" s="12">
        <v>42</v>
      </c>
      <c r="Q183" s="9">
        <v>51.8</v>
      </c>
      <c r="R183" s="9">
        <v>16</v>
      </c>
      <c r="S183" s="8" t="s">
        <v>65</v>
      </c>
    </row>
    <row r="184" spans="1:19" ht="15" customHeight="1" x14ac:dyDescent="0.25">
      <c r="A184" s="6">
        <v>56</v>
      </c>
      <c r="B184" s="6" t="s">
        <v>610</v>
      </c>
      <c r="C184" s="6"/>
      <c r="D184" s="7" t="s">
        <v>176</v>
      </c>
      <c r="E184" s="8" t="s">
        <v>172</v>
      </c>
      <c r="F184" s="9">
        <v>1985</v>
      </c>
      <c r="G184" s="8" t="s">
        <v>124</v>
      </c>
      <c r="H184" s="8" t="s">
        <v>72</v>
      </c>
      <c r="I184" s="9"/>
      <c r="J184" s="8" t="s">
        <v>107</v>
      </c>
      <c r="K184" s="24" t="s">
        <v>155</v>
      </c>
      <c r="L184" s="9">
        <v>453</v>
      </c>
      <c r="M184" s="9">
        <v>330</v>
      </c>
      <c r="N184" s="9"/>
      <c r="O184" s="8" t="s">
        <v>75</v>
      </c>
      <c r="P184" s="12">
        <v>41</v>
      </c>
      <c r="Q184" s="9">
        <v>32.5</v>
      </c>
      <c r="R184" s="9">
        <v>15.7</v>
      </c>
      <c r="S184" s="8" t="s">
        <v>110</v>
      </c>
    </row>
    <row r="185" spans="1:19" ht="15" customHeight="1" x14ac:dyDescent="0.25">
      <c r="A185" s="6">
        <v>52</v>
      </c>
      <c r="B185" s="6" t="s">
        <v>610</v>
      </c>
      <c r="C185" s="6"/>
      <c r="D185" s="7" t="s">
        <v>171</v>
      </c>
      <c r="E185" s="8" t="s">
        <v>172</v>
      </c>
      <c r="F185" s="9">
        <v>1981</v>
      </c>
      <c r="G185" s="8" t="s">
        <v>124</v>
      </c>
      <c r="H185" s="8" t="s">
        <v>72</v>
      </c>
      <c r="I185" s="9"/>
      <c r="J185" s="8" t="s">
        <v>125</v>
      </c>
      <c r="K185" s="24" t="s">
        <v>155</v>
      </c>
      <c r="L185" s="9">
        <v>453.35</v>
      </c>
      <c r="M185" s="9">
        <v>331</v>
      </c>
      <c r="N185" s="9"/>
      <c r="O185" s="8" t="s">
        <v>75</v>
      </c>
      <c r="P185" s="12">
        <v>45</v>
      </c>
      <c r="Q185" s="9">
        <v>32.5</v>
      </c>
      <c r="R185" s="9">
        <v>15.7</v>
      </c>
      <c r="S185" s="8" t="s">
        <v>76</v>
      </c>
    </row>
    <row r="186" spans="1:19" ht="15" customHeight="1" x14ac:dyDescent="0.25">
      <c r="A186" s="6">
        <v>34</v>
      </c>
      <c r="B186" s="6" t="s">
        <v>610</v>
      </c>
      <c r="C186" s="6"/>
      <c r="D186" s="7" t="s">
        <v>122</v>
      </c>
      <c r="E186" s="8" t="s">
        <v>123</v>
      </c>
      <c r="F186" s="9">
        <v>1984</v>
      </c>
      <c r="G186" s="8" t="s">
        <v>124</v>
      </c>
      <c r="H186" s="8" t="s">
        <v>72</v>
      </c>
      <c r="I186" s="9"/>
      <c r="J186" s="8" t="s">
        <v>125</v>
      </c>
      <c r="K186" s="24" t="s">
        <v>126</v>
      </c>
      <c r="L186" s="9">
        <v>1133.2</v>
      </c>
      <c r="M186" s="9">
        <v>220</v>
      </c>
      <c r="N186" s="9"/>
      <c r="O186" s="8" t="s">
        <v>127</v>
      </c>
      <c r="P186" s="12">
        <v>42</v>
      </c>
      <c r="Q186" s="9">
        <v>50.4</v>
      </c>
      <c r="R186" s="9">
        <v>16.8</v>
      </c>
      <c r="S186" s="8" t="s">
        <v>76</v>
      </c>
    </row>
    <row r="187" spans="1:19" ht="15" customHeight="1" x14ac:dyDescent="0.25">
      <c r="A187" s="6">
        <v>43</v>
      </c>
      <c r="B187" s="6" t="s">
        <v>610</v>
      </c>
      <c r="C187" s="6"/>
      <c r="D187" s="7" t="s">
        <v>151</v>
      </c>
      <c r="E187" s="8">
        <v>81040</v>
      </c>
      <c r="F187" s="9">
        <v>1985</v>
      </c>
      <c r="G187" s="8" t="s">
        <v>124</v>
      </c>
      <c r="H187" s="8" t="s">
        <v>72</v>
      </c>
      <c r="I187" s="9"/>
      <c r="J187" s="8" t="s">
        <v>125</v>
      </c>
      <c r="K187" s="24" t="s">
        <v>146</v>
      </c>
      <c r="L187" s="9">
        <v>589.70000000000005</v>
      </c>
      <c r="M187" s="9">
        <v>243</v>
      </c>
      <c r="N187" s="9"/>
      <c r="O187" s="8" t="s">
        <v>75</v>
      </c>
      <c r="P187" s="12">
        <v>41</v>
      </c>
      <c r="Q187" s="9">
        <v>45.1</v>
      </c>
      <c r="R187" s="9">
        <v>12.3</v>
      </c>
      <c r="S187" s="8" t="s">
        <v>76</v>
      </c>
    </row>
    <row r="188" spans="1:19" ht="15" customHeight="1" x14ac:dyDescent="0.25">
      <c r="A188" s="6">
        <v>77</v>
      </c>
      <c r="B188" s="6" t="s">
        <v>610</v>
      </c>
      <c r="C188" s="6"/>
      <c r="D188" s="7" t="s">
        <v>220</v>
      </c>
      <c r="E188" s="8" t="s">
        <v>218</v>
      </c>
      <c r="F188" s="9">
        <v>1984</v>
      </c>
      <c r="G188" s="8" t="s">
        <v>124</v>
      </c>
      <c r="H188" s="8" t="s">
        <v>72</v>
      </c>
      <c r="I188" s="9"/>
      <c r="J188" s="8" t="s">
        <v>125</v>
      </c>
      <c r="K188" s="24" t="s">
        <v>146</v>
      </c>
      <c r="L188" s="9">
        <v>290</v>
      </c>
      <c r="M188" s="9">
        <v>243</v>
      </c>
      <c r="N188" s="9"/>
      <c r="O188" s="8" t="s">
        <v>75</v>
      </c>
      <c r="P188" s="12">
        <v>42</v>
      </c>
      <c r="Q188" s="9">
        <v>45</v>
      </c>
      <c r="R188" s="9">
        <v>12.3</v>
      </c>
      <c r="S188" s="8" t="s">
        <v>76</v>
      </c>
    </row>
    <row r="189" spans="1:19" ht="15" customHeight="1" x14ac:dyDescent="0.25">
      <c r="A189" s="6">
        <v>89</v>
      </c>
      <c r="B189" s="6" t="s">
        <v>599</v>
      </c>
      <c r="C189" s="6" t="s">
        <v>619</v>
      </c>
      <c r="D189" s="7" t="s">
        <v>255</v>
      </c>
      <c r="E189" s="8" t="s">
        <v>256</v>
      </c>
      <c r="F189" s="9">
        <v>1979</v>
      </c>
      <c r="G189" s="8" t="s">
        <v>162</v>
      </c>
      <c r="H189" s="8" t="s">
        <v>72</v>
      </c>
      <c r="I189" s="9"/>
      <c r="J189" s="8" t="s">
        <v>154</v>
      </c>
      <c r="K189" s="24" t="s">
        <v>257</v>
      </c>
      <c r="L189" s="9">
        <v>198</v>
      </c>
      <c r="M189" s="9">
        <v>544</v>
      </c>
      <c r="N189" s="9"/>
      <c r="O189" s="8" t="s">
        <v>75</v>
      </c>
      <c r="P189" s="12">
        <v>47</v>
      </c>
      <c r="Q189" s="9">
        <v>33.840000000000003</v>
      </c>
      <c r="R189" s="9">
        <v>8</v>
      </c>
      <c r="S189" s="8" t="s">
        <v>65</v>
      </c>
    </row>
    <row r="190" spans="1:19" ht="15" customHeight="1" x14ac:dyDescent="0.25">
      <c r="A190" s="6">
        <v>61</v>
      </c>
      <c r="B190" s="6" t="s">
        <v>599</v>
      </c>
      <c r="C190" s="6" t="s">
        <v>624</v>
      </c>
      <c r="D190" s="7" t="s">
        <v>187</v>
      </c>
      <c r="E190" s="8">
        <v>81173</v>
      </c>
      <c r="F190" s="9">
        <v>1991</v>
      </c>
      <c r="G190" s="8" t="s">
        <v>162</v>
      </c>
      <c r="H190" s="8" t="s">
        <v>72</v>
      </c>
      <c r="I190" s="9"/>
      <c r="J190" s="8" t="s">
        <v>125</v>
      </c>
      <c r="K190" s="24" t="s">
        <v>188</v>
      </c>
      <c r="L190" s="9">
        <v>367</v>
      </c>
      <c r="M190" s="9">
        <v>636</v>
      </c>
      <c r="N190" s="9"/>
      <c r="O190" s="8" t="s">
        <v>75</v>
      </c>
      <c r="P190" s="12">
        <v>35</v>
      </c>
      <c r="Q190" s="9">
        <v>34.4</v>
      </c>
      <c r="R190" s="9">
        <v>10.4</v>
      </c>
      <c r="S190" s="8" t="s">
        <v>76</v>
      </c>
    </row>
    <row r="191" spans="1:19" ht="15" customHeight="1" x14ac:dyDescent="0.25">
      <c r="A191" s="6">
        <v>117</v>
      </c>
      <c r="B191" s="6" t="s">
        <v>599</v>
      </c>
      <c r="C191" s="6" t="s">
        <v>621</v>
      </c>
      <c r="D191" s="7" t="s">
        <v>315</v>
      </c>
      <c r="E191" s="8">
        <v>1496</v>
      </c>
      <c r="F191" s="9">
        <v>1981</v>
      </c>
      <c r="G191" s="8" t="s">
        <v>35</v>
      </c>
      <c r="H191" s="8" t="s">
        <v>98</v>
      </c>
      <c r="I191" s="9"/>
      <c r="J191" s="8" t="s">
        <v>27</v>
      </c>
      <c r="K191" s="32" t="s">
        <v>316</v>
      </c>
      <c r="L191" s="9">
        <v>78</v>
      </c>
      <c r="M191" s="9">
        <v>232</v>
      </c>
      <c r="N191" s="9"/>
      <c r="O191" s="8" t="s">
        <v>109</v>
      </c>
      <c r="P191" s="12">
        <v>45</v>
      </c>
      <c r="Q191" s="9">
        <v>23.4</v>
      </c>
      <c r="R191" s="9">
        <v>5.7</v>
      </c>
      <c r="S191" s="8" t="s">
        <v>28</v>
      </c>
    </row>
    <row r="192" spans="1:19" ht="15" customHeight="1" x14ac:dyDescent="0.25">
      <c r="A192" s="6">
        <v>94</v>
      </c>
      <c r="B192" s="6" t="s">
        <v>602</v>
      </c>
      <c r="C192" s="6"/>
      <c r="D192" s="7" t="s">
        <v>273</v>
      </c>
      <c r="E192" s="8">
        <v>712</v>
      </c>
      <c r="F192" s="9">
        <v>1982</v>
      </c>
      <c r="G192" s="8" t="s">
        <v>274</v>
      </c>
      <c r="H192" s="8" t="s">
        <v>72</v>
      </c>
      <c r="I192" s="9"/>
      <c r="J192" s="8" t="s">
        <v>178</v>
      </c>
      <c r="K192" s="24" t="s">
        <v>155</v>
      </c>
      <c r="L192" s="9">
        <v>157</v>
      </c>
      <c r="M192" s="9"/>
      <c r="N192" s="9"/>
      <c r="O192" s="8" t="s">
        <v>75</v>
      </c>
      <c r="P192" s="12">
        <v>44</v>
      </c>
      <c r="Q192" s="9">
        <v>28.6</v>
      </c>
      <c r="R192" s="9">
        <v>10</v>
      </c>
      <c r="S192" s="8" t="s">
        <v>28</v>
      </c>
    </row>
    <row r="193" spans="1:19" ht="15" customHeight="1" x14ac:dyDescent="0.25">
      <c r="A193" s="18">
        <v>93</v>
      </c>
      <c r="B193" s="18" t="s">
        <v>606</v>
      </c>
      <c r="C193" s="18" t="s">
        <v>621</v>
      </c>
      <c r="D193" s="19" t="s">
        <v>269</v>
      </c>
      <c r="E193" s="20" t="s">
        <v>270</v>
      </c>
      <c r="F193" s="21">
        <v>1981</v>
      </c>
      <c r="G193" s="20" t="s">
        <v>271</v>
      </c>
      <c r="H193" s="20" t="s">
        <v>72</v>
      </c>
      <c r="I193" s="21"/>
      <c r="J193" s="20" t="s">
        <v>136</v>
      </c>
      <c r="K193" s="30" t="s">
        <v>272</v>
      </c>
      <c r="L193" s="21">
        <v>162</v>
      </c>
      <c r="M193" s="21">
        <v>165</v>
      </c>
      <c r="N193" s="21"/>
      <c r="O193" s="20" t="s">
        <v>127</v>
      </c>
      <c r="P193" s="12">
        <v>45</v>
      </c>
      <c r="Q193" s="21">
        <v>33.75</v>
      </c>
      <c r="R193" s="21">
        <v>7.2</v>
      </c>
      <c r="S193" s="20" t="s">
        <v>268</v>
      </c>
    </row>
    <row r="194" spans="1:19" ht="15" customHeight="1" x14ac:dyDescent="0.25">
      <c r="A194" s="6">
        <v>228</v>
      </c>
      <c r="B194" s="6" t="s">
        <v>596</v>
      </c>
      <c r="C194" s="6"/>
      <c r="D194" s="7" t="s">
        <v>530</v>
      </c>
      <c r="E194" s="8" t="s">
        <v>531</v>
      </c>
      <c r="F194" s="9">
        <v>2003</v>
      </c>
      <c r="G194" s="8" t="s">
        <v>321</v>
      </c>
      <c r="H194" s="8" t="s">
        <v>322</v>
      </c>
      <c r="I194" s="9"/>
      <c r="J194" s="8" t="s">
        <v>136</v>
      </c>
      <c r="K194" s="24" t="s">
        <v>323</v>
      </c>
      <c r="L194" s="9"/>
      <c r="M194" s="9">
        <v>11</v>
      </c>
      <c r="N194" s="9"/>
      <c r="O194" s="8" t="s">
        <v>324</v>
      </c>
      <c r="P194" s="9">
        <v>23</v>
      </c>
      <c r="Q194" s="9">
        <v>4.6500000000000004</v>
      </c>
      <c r="R194" s="9">
        <v>1.7</v>
      </c>
      <c r="S194" s="8" t="s">
        <v>268</v>
      </c>
    </row>
    <row r="195" spans="1:19" ht="15" customHeight="1" x14ac:dyDescent="0.25">
      <c r="A195" s="6">
        <v>167</v>
      </c>
      <c r="B195" s="6" t="s">
        <v>596</v>
      </c>
      <c r="C195" s="6"/>
      <c r="D195" s="7" t="s">
        <v>416</v>
      </c>
      <c r="E195" s="8" t="s">
        <v>417</v>
      </c>
      <c r="F195" s="9">
        <v>1979</v>
      </c>
      <c r="G195" s="8" t="s">
        <v>418</v>
      </c>
      <c r="H195" s="8" t="s">
        <v>322</v>
      </c>
      <c r="I195" s="9"/>
      <c r="J195" s="8" t="s">
        <v>73</v>
      </c>
      <c r="K195" s="24" t="s">
        <v>323</v>
      </c>
      <c r="L195" s="9">
        <v>0.3</v>
      </c>
      <c r="M195" s="9">
        <v>0</v>
      </c>
      <c r="N195" s="9"/>
      <c r="O195" s="8" t="s">
        <v>324</v>
      </c>
      <c r="P195" s="12">
        <v>47</v>
      </c>
      <c r="Q195" s="9">
        <v>4.5999999999999996</v>
      </c>
      <c r="R195" s="9">
        <v>1.7</v>
      </c>
      <c r="S195" s="8" t="s">
        <v>76</v>
      </c>
    </row>
    <row r="196" spans="1:19" ht="15" customHeight="1" x14ac:dyDescent="0.25">
      <c r="A196" s="6">
        <v>229</v>
      </c>
      <c r="B196" s="6" t="s">
        <v>612</v>
      </c>
      <c r="C196" s="6"/>
      <c r="D196" s="7" t="s">
        <v>532</v>
      </c>
      <c r="E196" s="8">
        <v>1345</v>
      </c>
      <c r="F196" s="9">
        <v>1980</v>
      </c>
      <c r="G196" s="8" t="s">
        <v>200</v>
      </c>
      <c r="H196" s="8" t="s">
        <v>72</v>
      </c>
      <c r="I196" s="9"/>
      <c r="J196" s="8" t="s">
        <v>73</v>
      </c>
      <c r="K196" s="24" t="s">
        <v>533</v>
      </c>
      <c r="L196" s="9"/>
      <c r="M196" s="9"/>
      <c r="N196" s="9"/>
      <c r="O196" s="8" t="s">
        <v>159</v>
      </c>
      <c r="P196" s="12">
        <v>46</v>
      </c>
      <c r="Q196" s="9">
        <v>25</v>
      </c>
      <c r="R196" s="9">
        <v>7</v>
      </c>
      <c r="S196" s="8" t="s">
        <v>76</v>
      </c>
    </row>
    <row r="197" spans="1:19" ht="15" customHeight="1" x14ac:dyDescent="0.25">
      <c r="A197" s="6">
        <v>66</v>
      </c>
      <c r="B197" s="6" t="s">
        <v>612</v>
      </c>
      <c r="C197" s="6"/>
      <c r="D197" s="7" t="s">
        <v>198</v>
      </c>
      <c r="E197" s="8" t="s">
        <v>199</v>
      </c>
      <c r="F197" s="9">
        <v>2015</v>
      </c>
      <c r="G197" s="8" t="s">
        <v>200</v>
      </c>
      <c r="H197" s="8" t="s">
        <v>98</v>
      </c>
      <c r="I197" s="9"/>
      <c r="J197" s="8" t="s">
        <v>64</v>
      </c>
      <c r="K197" s="24" t="s">
        <v>200</v>
      </c>
      <c r="L197" s="9">
        <v>337</v>
      </c>
      <c r="M197" s="9"/>
      <c r="N197" s="9"/>
      <c r="O197" s="8" t="s">
        <v>201</v>
      </c>
      <c r="P197" s="9">
        <v>11</v>
      </c>
      <c r="Q197" s="9">
        <v>73</v>
      </c>
      <c r="R197" s="9">
        <v>8.1999999999999993</v>
      </c>
      <c r="S197" s="8" t="s">
        <v>65</v>
      </c>
    </row>
    <row r="198" spans="1:19" ht="15" customHeight="1" x14ac:dyDescent="0.25">
      <c r="A198" s="6">
        <v>164</v>
      </c>
      <c r="B198" s="6" t="s">
        <v>596</v>
      </c>
      <c r="C198" s="6"/>
      <c r="D198" s="7" t="s">
        <v>410</v>
      </c>
      <c r="E198" s="8">
        <v>16601</v>
      </c>
      <c r="F198" s="9">
        <v>1997</v>
      </c>
      <c r="G198" s="8" t="s">
        <v>321</v>
      </c>
      <c r="H198" s="8" t="s">
        <v>322</v>
      </c>
      <c r="I198" s="9"/>
      <c r="J198" s="8" t="s">
        <v>73</v>
      </c>
      <c r="K198" s="24" t="s">
        <v>323</v>
      </c>
      <c r="L198" s="9">
        <v>1.903</v>
      </c>
      <c r="M198" s="9">
        <v>139.69999999999999</v>
      </c>
      <c r="N198" s="9"/>
      <c r="O198" s="8" t="s">
        <v>324</v>
      </c>
      <c r="P198" s="11">
        <v>29</v>
      </c>
      <c r="Q198" s="9">
        <v>5.96</v>
      </c>
      <c r="R198" s="9">
        <v>2.1</v>
      </c>
      <c r="S198" s="8" t="s">
        <v>76</v>
      </c>
    </row>
    <row r="199" spans="1:19" ht="15" customHeight="1" x14ac:dyDescent="0.25">
      <c r="A199" s="6">
        <v>230</v>
      </c>
      <c r="B199" s="6" t="s">
        <v>597</v>
      </c>
      <c r="C199" s="6"/>
      <c r="D199" s="7" t="s">
        <v>534</v>
      </c>
      <c r="E199" s="8" t="s">
        <v>412</v>
      </c>
      <c r="F199" s="9">
        <v>2015</v>
      </c>
      <c r="G199" s="8" t="s">
        <v>329</v>
      </c>
      <c r="H199" s="8" t="s">
        <v>98</v>
      </c>
      <c r="I199" s="9"/>
      <c r="J199" s="8" t="s">
        <v>27</v>
      </c>
      <c r="K199" s="32" t="s">
        <v>323</v>
      </c>
      <c r="L199" s="9"/>
      <c r="M199" s="9">
        <v>162</v>
      </c>
      <c r="N199" s="9"/>
      <c r="O199" s="8" t="s">
        <v>324</v>
      </c>
      <c r="P199" s="9">
        <v>11</v>
      </c>
      <c r="Q199" s="9">
        <v>8.6</v>
      </c>
      <c r="R199" s="9">
        <v>2.5</v>
      </c>
      <c r="S199" s="8" t="s">
        <v>28</v>
      </c>
    </row>
    <row r="200" spans="1:19" ht="15" customHeight="1" x14ac:dyDescent="0.25">
      <c r="A200" s="6">
        <v>231</v>
      </c>
      <c r="B200" s="6" t="s">
        <v>597</v>
      </c>
      <c r="C200" s="6"/>
      <c r="D200" s="7" t="s">
        <v>412</v>
      </c>
      <c r="E200" s="8" t="s">
        <v>412</v>
      </c>
      <c r="F200" s="9">
        <v>2010</v>
      </c>
      <c r="G200" s="8" t="s">
        <v>329</v>
      </c>
      <c r="H200" s="8" t="s">
        <v>98</v>
      </c>
      <c r="I200" s="9"/>
      <c r="J200" s="8" t="s">
        <v>64</v>
      </c>
      <c r="K200" s="32" t="s">
        <v>323</v>
      </c>
      <c r="L200" s="9"/>
      <c r="M200" s="9">
        <v>170</v>
      </c>
      <c r="N200" s="9"/>
      <c r="O200" s="8" t="s">
        <v>324</v>
      </c>
      <c r="P200" s="9">
        <v>16</v>
      </c>
      <c r="Q200" s="9">
        <v>7.8</v>
      </c>
      <c r="R200" s="9">
        <v>2.54</v>
      </c>
      <c r="S200" s="8" t="s">
        <v>65</v>
      </c>
    </row>
    <row r="201" spans="1:19" ht="15" customHeight="1" x14ac:dyDescent="0.25">
      <c r="A201" s="6">
        <v>165</v>
      </c>
      <c r="B201" s="6" t="s">
        <v>597</v>
      </c>
      <c r="C201" s="6"/>
      <c r="D201" s="7" t="s">
        <v>411</v>
      </c>
      <c r="E201" s="8" t="s">
        <v>412</v>
      </c>
      <c r="F201" s="9">
        <v>2015</v>
      </c>
      <c r="G201" s="8" t="s">
        <v>329</v>
      </c>
      <c r="H201" s="8" t="s">
        <v>98</v>
      </c>
      <c r="I201" s="9"/>
      <c r="J201" s="8" t="s">
        <v>64</v>
      </c>
      <c r="K201" s="32" t="s">
        <v>323</v>
      </c>
      <c r="L201" s="9"/>
      <c r="M201" s="9">
        <v>162</v>
      </c>
      <c r="N201" s="9"/>
      <c r="O201" s="8" t="s">
        <v>324</v>
      </c>
      <c r="P201" s="9">
        <v>11</v>
      </c>
      <c r="Q201" s="9">
        <v>8</v>
      </c>
      <c r="R201" s="9">
        <v>2.5</v>
      </c>
      <c r="S201" s="8" t="s">
        <v>65</v>
      </c>
    </row>
    <row r="202" spans="1:19" ht="15" customHeight="1" x14ac:dyDescent="0.25">
      <c r="A202" s="6">
        <v>232</v>
      </c>
      <c r="B202" s="6" t="s">
        <v>597</v>
      </c>
      <c r="C202" s="6"/>
      <c r="D202" s="7" t="s">
        <v>535</v>
      </c>
      <c r="E202" s="8" t="s">
        <v>412</v>
      </c>
      <c r="F202" s="9">
        <v>2017</v>
      </c>
      <c r="G202" s="8" t="s">
        <v>329</v>
      </c>
      <c r="H202" s="8" t="s">
        <v>98</v>
      </c>
      <c r="I202" s="9"/>
      <c r="J202" s="8" t="s">
        <v>64</v>
      </c>
      <c r="K202" s="32" t="s">
        <v>323</v>
      </c>
      <c r="L202" s="9"/>
      <c r="M202" s="9">
        <v>147.1</v>
      </c>
      <c r="N202" s="9"/>
      <c r="O202" s="8" t="s">
        <v>324</v>
      </c>
      <c r="P202" s="9">
        <v>10</v>
      </c>
      <c r="Q202" s="9">
        <v>7.8</v>
      </c>
      <c r="R202" s="9">
        <v>2.5</v>
      </c>
      <c r="S202" s="8" t="s">
        <v>65</v>
      </c>
    </row>
    <row r="203" spans="1:19" ht="15" customHeight="1" x14ac:dyDescent="0.25">
      <c r="A203" s="6">
        <v>233</v>
      </c>
      <c r="B203" s="6" t="s">
        <v>597</v>
      </c>
      <c r="C203" s="6"/>
      <c r="D203" s="7" t="s">
        <v>536</v>
      </c>
      <c r="E203" s="8" t="s">
        <v>412</v>
      </c>
      <c r="F203" s="9">
        <v>2017</v>
      </c>
      <c r="G203" s="8" t="s">
        <v>329</v>
      </c>
      <c r="H203" s="8" t="s">
        <v>98</v>
      </c>
      <c r="I203" s="9"/>
      <c r="J203" s="8" t="s">
        <v>64</v>
      </c>
      <c r="K203" s="32" t="s">
        <v>323</v>
      </c>
      <c r="L203" s="9"/>
      <c r="M203" s="9">
        <v>147.1</v>
      </c>
      <c r="N203" s="9"/>
      <c r="O203" s="8" t="s">
        <v>324</v>
      </c>
      <c r="P203" s="9">
        <v>10</v>
      </c>
      <c r="Q203" s="9">
        <v>7.8</v>
      </c>
      <c r="R203" s="9">
        <v>2.5</v>
      </c>
      <c r="S203" s="8" t="s">
        <v>65</v>
      </c>
    </row>
    <row r="204" spans="1:19" ht="15" customHeight="1" x14ac:dyDescent="0.25">
      <c r="A204" s="6">
        <v>166</v>
      </c>
      <c r="B204" s="6" t="s">
        <v>598</v>
      </c>
      <c r="C204" s="6"/>
      <c r="D204" s="7" t="s">
        <v>413</v>
      </c>
      <c r="E204" s="8" t="s">
        <v>414</v>
      </c>
      <c r="F204" s="9">
        <v>2013</v>
      </c>
      <c r="G204" s="8" t="s">
        <v>415</v>
      </c>
      <c r="H204" s="8" t="s">
        <v>322</v>
      </c>
      <c r="I204" s="9"/>
      <c r="J204" s="8" t="s">
        <v>107</v>
      </c>
      <c r="K204" s="24" t="s">
        <v>323</v>
      </c>
      <c r="L204" s="9">
        <v>1.5</v>
      </c>
      <c r="M204" s="9">
        <v>194.1</v>
      </c>
      <c r="N204" s="9"/>
      <c r="O204" s="8" t="s">
        <v>324</v>
      </c>
      <c r="P204" s="9">
        <v>13</v>
      </c>
      <c r="Q204" s="9">
        <v>8.52</v>
      </c>
      <c r="R204" s="9">
        <v>2.65</v>
      </c>
      <c r="S204" s="8" t="s">
        <v>65</v>
      </c>
    </row>
    <row r="205" spans="1:19" ht="15" customHeight="1" x14ac:dyDescent="0.25">
      <c r="A205" s="13">
        <v>62</v>
      </c>
      <c r="B205" s="13" t="s">
        <v>603</v>
      </c>
      <c r="C205" s="13" t="s">
        <v>626</v>
      </c>
      <c r="D205" s="14" t="s">
        <v>189</v>
      </c>
      <c r="E205" s="15" t="s">
        <v>190</v>
      </c>
      <c r="F205" s="16">
        <v>2011</v>
      </c>
      <c r="G205" s="15" t="s">
        <v>191</v>
      </c>
      <c r="H205" s="15" t="s">
        <v>98</v>
      </c>
      <c r="I205" s="16">
        <v>9586796</v>
      </c>
      <c r="J205" s="15" t="s">
        <v>21</v>
      </c>
      <c r="K205" s="25" t="s">
        <v>192</v>
      </c>
      <c r="L205" s="16">
        <v>367</v>
      </c>
      <c r="M205" s="16">
        <v>882</v>
      </c>
      <c r="N205" s="16"/>
      <c r="O205" s="15" t="s">
        <v>109</v>
      </c>
      <c r="P205" s="16">
        <v>15</v>
      </c>
      <c r="Q205" s="16">
        <v>38.64</v>
      </c>
      <c r="R205" s="16">
        <v>7.7</v>
      </c>
      <c r="S205" s="15" t="s">
        <v>24</v>
      </c>
    </row>
    <row r="206" spans="1:19" ht="15" customHeight="1" x14ac:dyDescent="0.25">
      <c r="A206" s="6">
        <v>234</v>
      </c>
      <c r="B206" s="6" t="s">
        <v>596</v>
      </c>
      <c r="C206" s="6"/>
      <c r="D206" s="7" t="s">
        <v>537</v>
      </c>
      <c r="E206" s="8" t="s">
        <v>408</v>
      </c>
      <c r="F206" s="9">
        <v>2010</v>
      </c>
      <c r="G206" s="8" t="s">
        <v>323</v>
      </c>
      <c r="H206" s="8" t="s">
        <v>98</v>
      </c>
      <c r="I206" s="9"/>
      <c r="J206" s="8" t="s">
        <v>37</v>
      </c>
      <c r="K206" s="24" t="s">
        <v>323</v>
      </c>
      <c r="L206" s="9"/>
      <c r="M206" s="9">
        <v>55</v>
      </c>
      <c r="N206" s="9"/>
      <c r="O206" s="8" t="s">
        <v>324</v>
      </c>
      <c r="P206" s="9">
        <v>16</v>
      </c>
      <c r="Q206" s="9">
        <v>6.1</v>
      </c>
      <c r="R206" s="9">
        <v>2.2000000000000002</v>
      </c>
      <c r="S206" s="8" t="s">
        <v>38</v>
      </c>
    </row>
    <row r="207" spans="1:19" ht="15" customHeight="1" x14ac:dyDescent="0.25">
      <c r="A207" s="6">
        <v>235</v>
      </c>
      <c r="B207" s="6" t="s">
        <v>598</v>
      </c>
      <c r="C207" s="6"/>
      <c r="D207" s="7" t="s">
        <v>538</v>
      </c>
      <c r="E207" s="8" t="s">
        <v>414</v>
      </c>
      <c r="F207" s="9">
        <v>2013</v>
      </c>
      <c r="G207" s="8" t="s">
        <v>421</v>
      </c>
      <c r="H207" s="8" t="s">
        <v>98</v>
      </c>
      <c r="I207" s="9"/>
      <c r="J207" s="8" t="s">
        <v>32</v>
      </c>
      <c r="K207" s="24" t="s">
        <v>323</v>
      </c>
      <c r="L207" s="9"/>
      <c r="M207" s="9">
        <v>95</v>
      </c>
      <c r="N207" s="9"/>
      <c r="O207" s="8" t="s">
        <v>324</v>
      </c>
      <c r="P207" s="9">
        <v>13</v>
      </c>
      <c r="Q207" s="9">
        <v>8.58</v>
      </c>
      <c r="R207" s="9">
        <v>2.65</v>
      </c>
      <c r="S207" s="8" t="s">
        <v>34</v>
      </c>
    </row>
    <row r="208" spans="1:19" ht="15" customHeight="1" x14ac:dyDescent="0.25">
      <c r="A208" s="6">
        <v>236</v>
      </c>
      <c r="B208" s="6" t="s">
        <v>598</v>
      </c>
      <c r="C208" s="6"/>
      <c r="D208" s="7" t="s">
        <v>539</v>
      </c>
      <c r="E208" s="8" t="s">
        <v>497</v>
      </c>
      <c r="F208" s="9">
        <v>2014</v>
      </c>
      <c r="G208" s="8" t="s">
        <v>421</v>
      </c>
      <c r="H208" s="8" t="s">
        <v>98</v>
      </c>
      <c r="I208" s="9"/>
      <c r="J208" s="8" t="s">
        <v>32</v>
      </c>
      <c r="K208" s="24" t="s">
        <v>323</v>
      </c>
      <c r="L208" s="9"/>
      <c r="M208" s="9">
        <v>266</v>
      </c>
      <c r="N208" s="9"/>
      <c r="O208" s="8" t="s">
        <v>324</v>
      </c>
      <c r="P208" s="9">
        <v>12</v>
      </c>
      <c r="Q208" s="9">
        <v>8.58</v>
      </c>
      <c r="R208" s="9">
        <v>2.65</v>
      </c>
      <c r="S208" s="8" t="s">
        <v>34</v>
      </c>
    </row>
    <row r="209" spans="1:19" ht="15" customHeight="1" x14ac:dyDescent="0.25">
      <c r="A209" s="6">
        <v>237</v>
      </c>
      <c r="B209" s="6" t="s">
        <v>597</v>
      </c>
      <c r="C209" s="6"/>
      <c r="D209" s="7" t="s">
        <v>540</v>
      </c>
      <c r="E209" s="8" t="s">
        <v>541</v>
      </c>
      <c r="F209" s="9">
        <v>2016</v>
      </c>
      <c r="G209" s="8" t="s">
        <v>542</v>
      </c>
      <c r="H209" s="8" t="s">
        <v>98</v>
      </c>
      <c r="I209" s="9"/>
      <c r="J209" s="8" t="s">
        <v>32</v>
      </c>
      <c r="K209" s="32" t="s">
        <v>323</v>
      </c>
      <c r="L209" s="9"/>
      <c r="M209" s="9">
        <v>165</v>
      </c>
      <c r="N209" s="9"/>
      <c r="O209" s="8" t="s">
        <v>324</v>
      </c>
      <c r="P209" s="9">
        <v>4</v>
      </c>
      <c r="Q209" s="9">
        <v>8.17</v>
      </c>
      <c r="R209" s="9">
        <v>2.6</v>
      </c>
      <c r="S209" s="8" t="s">
        <v>34</v>
      </c>
    </row>
    <row r="210" spans="1:19" ht="15" customHeight="1" x14ac:dyDescent="0.25">
      <c r="A210" s="6">
        <v>238</v>
      </c>
      <c r="B210" s="6" t="s">
        <v>597</v>
      </c>
      <c r="C210" s="6"/>
      <c r="D210" s="7" t="s">
        <v>543</v>
      </c>
      <c r="E210" s="8" t="s">
        <v>544</v>
      </c>
      <c r="F210" s="9">
        <v>2016</v>
      </c>
      <c r="G210" s="8" t="s">
        <v>542</v>
      </c>
      <c r="H210" s="8" t="s">
        <v>98</v>
      </c>
      <c r="I210" s="9"/>
      <c r="J210" s="8" t="s">
        <v>32</v>
      </c>
      <c r="K210" s="32" t="s">
        <v>323</v>
      </c>
      <c r="L210" s="9"/>
      <c r="M210" s="9">
        <v>165</v>
      </c>
      <c r="N210" s="9"/>
      <c r="O210" s="8" t="s">
        <v>324</v>
      </c>
      <c r="P210" s="9">
        <v>4</v>
      </c>
      <c r="Q210" s="9">
        <v>8.17</v>
      </c>
      <c r="R210" s="9">
        <v>2.6</v>
      </c>
      <c r="S210" s="8" t="s">
        <v>34</v>
      </c>
    </row>
    <row r="211" spans="1:19" ht="15" customHeight="1" x14ac:dyDescent="0.25">
      <c r="A211" s="2">
        <v>79</v>
      </c>
      <c r="B211" s="2" t="s">
        <v>599</v>
      </c>
      <c r="C211" s="2" t="s">
        <v>626</v>
      </c>
      <c r="D211" s="3" t="s">
        <v>224</v>
      </c>
      <c r="E211" s="4" t="s">
        <v>222</v>
      </c>
      <c r="F211" s="5">
        <v>2006</v>
      </c>
      <c r="G211" s="4" t="s">
        <v>35</v>
      </c>
      <c r="H211" s="4" t="s">
        <v>181</v>
      </c>
      <c r="I211" s="5">
        <v>9398838</v>
      </c>
      <c r="J211" s="4" t="s">
        <v>21</v>
      </c>
      <c r="K211" s="29" t="s">
        <v>223</v>
      </c>
      <c r="L211" s="5">
        <v>286</v>
      </c>
      <c r="M211" s="5">
        <v>2388</v>
      </c>
      <c r="N211" s="5">
        <v>42</v>
      </c>
      <c r="O211" s="4" t="s">
        <v>23</v>
      </c>
      <c r="P211" s="5">
        <v>20</v>
      </c>
      <c r="Q211" s="5">
        <v>31</v>
      </c>
      <c r="R211" s="5">
        <v>9</v>
      </c>
      <c r="S211" s="4" t="s">
        <v>24</v>
      </c>
    </row>
    <row r="212" spans="1:19" ht="15" customHeight="1" x14ac:dyDescent="0.25">
      <c r="A212" s="2">
        <v>31</v>
      </c>
      <c r="B212" s="2" t="s">
        <v>609</v>
      </c>
      <c r="C212" s="2" t="s">
        <v>622</v>
      </c>
      <c r="D212" s="3" t="s">
        <v>115</v>
      </c>
      <c r="E212" s="4">
        <v>1454</v>
      </c>
      <c r="F212" s="5">
        <v>1982</v>
      </c>
      <c r="G212" s="4" t="s">
        <v>120</v>
      </c>
      <c r="H212" s="4" t="s">
        <v>26</v>
      </c>
      <c r="I212" s="5">
        <v>8033883</v>
      </c>
      <c r="J212" s="4" t="s">
        <v>32</v>
      </c>
      <c r="K212" s="33" t="s">
        <v>116</v>
      </c>
      <c r="L212" s="5">
        <v>1170</v>
      </c>
      <c r="M212" s="5">
        <v>2162</v>
      </c>
      <c r="N212" s="5">
        <v>30</v>
      </c>
      <c r="O212" s="4" t="s">
        <v>23</v>
      </c>
      <c r="P212" s="12">
        <v>44</v>
      </c>
      <c r="Q212" s="5">
        <v>58.55</v>
      </c>
      <c r="R212" s="5">
        <v>12</v>
      </c>
      <c r="S212" s="4" t="s">
        <v>34</v>
      </c>
    </row>
    <row r="213" spans="1:19" ht="15" customHeight="1" x14ac:dyDescent="0.25">
      <c r="A213" s="6">
        <v>239</v>
      </c>
      <c r="B213" s="6" t="s">
        <v>596</v>
      </c>
      <c r="C213" s="6"/>
      <c r="D213" s="7" t="s">
        <v>545</v>
      </c>
      <c r="E213" s="8" t="s">
        <v>546</v>
      </c>
      <c r="F213" s="9">
        <v>2010</v>
      </c>
      <c r="G213" s="8" t="s">
        <v>439</v>
      </c>
      <c r="H213" s="8" t="s">
        <v>322</v>
      </c>
      <c r="I213" s="9"/>
      <c r="J213" s="8" t="s">
        <v>210</v>
      </c>
      <c r="K213" s="24" t="s">
        <v>323</v>
      </c>
      <c r="L213" s="9"/>
      <c r="M213" s="9">
        <v>40.799999999999997</v>
      </c>
      <c r="N213" s="9"/>
      <c r="O213" s="8"/>
      <c r="P213" s="9">
        <v>16</v>
      </c>
      <c r="Q213" s="9">
        <v>4.18</v>
      </c>
      <c r="R213" s="9">
        <v>2.0099999999999998</v>
      </c>
      <c r="S213" s="8" t="s">
        <v>212</v>
      </c>
    </row>
    <row r="214" spans="1:19" ht="15" customHeight="1" x14ac:dyDescent="0.25">
      <c r="A214" s="13">
        <v>63</v>
      </c>
      <c r="B214" s="13" t="s">
        <v>603</v>
      </c>
      <c r="C214" s="13" t="s">
        <v>620</v>
      </c>
      <c r="D214" s="14" t="s">
        <v>193</v>
      </c>
      <c r="E214" s="15" t="s">
        <v>190</v>
      </c>
      <c r="F214" s="16">
        <v>2013</v>
      </c>
      <c r="G214" s="15" t="s">
        <v>191</v>
      </c>
      <c r="H214" s="15" t="s">
        <v>98</v>
      </c>
      <c r="I214" s="16">
        <v>9638666</v>
      </c>
      <c r="J214" s="15" t="s">
        <v>44</v>
      </c>
      <c r="K214" s="25" t="s">
        <v>194</v>
      </c>
      <c r="L214" s="16">
        <v>367</v>
      </c>
      <c r="M214" s="16">
        <v>882</v>
      </c>
      <c r="N214" s="16"/>
      <c r="O214" s="15" t="s">
        <v>109</v>
      </c>
      <c r="P214" s="16">
        <v>13</v>
      </c>
      <c r="Q214" s="16">
        <v>38.35</v>
      </c>
      <c r="R214" s="16">
        <v>7.7</v>
      </c>
      <c r="S214" s="15" t="s">
        <v>28</v>
      </c>
    </row>
    <row r="215" spans="1:19" ht="15" customHeight="1" x14ac:dyDescent="0.25">
      <c r="A215" s="6">
        <v>156</v>
      </c>
      <c r="B215" s="6" t="s">
        <v>598</v>
      </c>
      <c r="C215" s="6" t="s">
        <v>621</v>
      </c>
      <c r="D215" s="7" t="s">
        <v>397</v>
      </c>
      <c r="E215" s="8" t="s">
        <v>398</v>
      </c>
      <c r="F215" s="9">
        <v>2022</v>
      </c>
      <c r="G215" s="8" t="s">
        <v>399</v>
      </c>
      <c r="H215" s="8" t="s">
        <v>98</v>
      </c>
      <c r="I215" s="9"/>
      <c r="J215" s="8" t="s">
        <v>136</v>
      </c>
      <c r="K215" s="24" t="s">
        <v>323</v>
      </c>
      <c r="L215" s="9">
        <v>11.06</v>
      </c>
      <c r="M215" s="9">
        <v>389.8</v>
      </c>
      <c r="N215" s="9"/>
      <c r="O215" s="8" t="s">
        <v>324</v>
      </c>
      <c r="P215" s="9">
        <v>4</v>
      </c>
      <c r="Q215" s="9">
        <v>11.2</v>
      </c>
      <c r="R215" s="9">
        <v>3.2</v>
      </c>
      <c r="S215" s="8" t="s">
        <v>268</v>
      </c>
    </row>
    <row r="216" spans="1:19" ht="15" customHeight="1" x14ac:dyDescent="0.25">
      <c r="A216" s="18">
        <v>84</v>
      </c>
      <c r="B216" s="18" t="s">
        <v>608</v>
      </c>
      <c r="C216" s="18" t="s">
        <v>619</v>
      </c>
      <c r="D216" s="19" t="s">
        <v>238</v>
      </c>
      <c r="E216" s="20" t="s">
        <v>239</v>
      </c>
      <c r="F216" s="21">
        <v>1981</v>
      </c>
      <c r="G216" s="20" t="s">
        <v>240</v>
      </c>
      <c r="H216" s="20" t="s">
        <v>72</v>
      </c>
      <c r="I216" s="21"/>
      <c r="J216" s="20" t="s">
        <v>64</v>
      </c>
      <c r="K216" s="30" t="s">
        <v>241</v>
      </c>
      <c r="L216" s="21">
        <v>233</v>
      </c>
      <c r="M216" s="21">
        <v>165</v>
      </c>
      <c r="N216" s="21"/>
      <c r="O216" s="20" t="s">
        <v>127</v>
      </c>
      <c r="P216" s="12">
        <v>45</v>
      </c>
      <c r="Q216" s="21">
        <v>35.17</v>
      </c>
      <c r="R216" s="21">
        <v>7.6</v>
      </c>
      <c r="S216" s="20" t="s">
        <v>65</v>
      </c>
    </row>
    <row r="217" spans="1:19" ht="15" customHeight="1" x14ac:dyDescent="0.25">
      <c r="A217" s="2">
        <v>29</v>
      </c>
      <c r="B217" s="2" t="s">
        <v>609</v>
      </c>
      <c r="C217" s="2" t="s">
        <v>626</v>
      </c>
      <c r="D217" s="3" t="s">
        <v>111</v>
      </c>
      <c r="E217" s="4">
        <v>2262</v>
      </c>
      <c r="F217" s="5">
        <v>1987</v>
      </c>
      <c r="G217" s="4" t="s">
        <v>31</v>
      </c>
      <c r="H217" s="4" t="s">
        <v>26</v>
      </c>
      <c r="I217" s="5">
        <v>8606484</v>
      </c>
      <c r="J217" s="4" t="s">
        <v>21</v>
      </c>
      <c r="K217" s="29" t="s">
        <v>83</v>
      </c>
      <c r="L217" s="5">
        <v>1695</v>
      </c>
      <c r="M217" s="5">
        <v>2600</v>
      </c>
      <c r="N217" s="5">
        <v>39.85</v>
      </c>
      <c r="O217" s="4" t="s">
        <v>23</v>
      </c>
      <c r="P217" s="12">
        <v>39</v>
      </c>
      <c r="Q217" s="5">
        <v>61</v>
      </c>
      <c r="R217" s="5">
        <v>14</v>
      </c>
      <c r="S217" s="4" t="s">
        <v>24</v>
      </c>
    </row>
    <row r="218" spans="1:19" ht="15" customHeight="1" x14ac:dyDescent="0.25">
      <c r="A218" s="6">
        <v>240</v>
      </c>
      <c r="B218" s="6" t="s">
        <v>599</v>
      </c>
      <c r="C218" s="6" t="s">
        <v>619</v>
      </c>
      <c r="D218" s="7" t="s">
        <v>547</v>
      </c>
      <c r="E218" s="8">
        <v>16332</v>
      </c>
      <c r="F218" s="9">
        <v>1965</v>
      </c>
      <c r="G218" s="8" t="s">
        <v>356</v>
      </c>
      <c r="H218" s="8" t="s">
        <v>98</v>
      </c>
      <c r="I218" s="9"/>
      <c r="J218" s="8" t="s">
        <v>64</v>
      </c>
      <c r="K218" s="24" t="s">
        <v>323</v>
      </c>
      <c r="L218" s="9"/>
      <c r="M218" s="9">
        <v>111</v>
      </c>
      <c r="N218" s="9"/>
      <c r="O218" s="8" t="s">
        <v>396</v>
      </c>
      <c r="P218" s="12">
        <v>61</v>
      </c>
      <c r="Q218" s="9">
        <v>13.6</v>
      </c>
      <c r="R218" s="9">
        <v>3.6</v>
      </c>
      <c r="S218" s="8" t="s">
        <v>65</v>
      </c>
    </row>
    <row r="219" spans="1:19" ht="15" customHeight="1" x14ac:dyDescent="0.25">
      <c r="A219" s="6">
        <v>160</v>
      </c>
      <c r="B219" s="6" t="s">
        <v>606</v>
      </c>
      <c r="C219" s="6" t="s">
        <v>620</v>
      </c>
      <c r="D219" s="7" t="s">
        <v>403</v>
      </c>
      <c r="E219" s="8">
        <v>16332</v>
      </c>
      <c r="F219" s="9">
        <v>1989</v>
      </c>
      <c r="G219" s="8" t="s">
        <v>404</v>
      </c>
      <c r="H219" s="8" t="s">
        <v>98</v>
      </c>
      <c r="I219" s="9"/>
      <c r="J219" s="8" t="s">
        <v>37</v>
      </c>
      <c r="K219" s="24" t="s">
        <v>323</v>
      </c>
      <c r="L219" s="9">
        <v>16</v>
      </c>
      <c r="M219" s="9">
        <v>110.3</v>
      </c>
      <c r="N219" s="9">
        <v>1.6</v>
      </c>
      <c r="O219" s="8" t="s">
        <v>324</v>
      </c>
      <c r="P219" s="12">
        <v>37</v>
      </c>
      <c r="Q219" s="9">
        <v>12.98</v>
      </c>
      <c r="R219" s="9">
        <v>3.6</v>
      </c>
      <c r="S219" s="8" t="s">
        <v>38</v>
      </c>
    </row>
    <row r="220" spans="1:19" ht="15" customHeight="1" x14ac:dyDescent="0.25">
      <c r="A220" s="2">
        <v>8</v>
      </c>
      <c r="B220" s="2" t="s">
        <v>601</v>
      </c>
      <c r="C220" s="2" t="s">
        <v>621</v>
      </c>
      <c r="D220" s="3" t="s">
        <v>48</v>
      </c>
      <c r="E220" s="4" t="s">
        <v>49</v>
      </c>
      <c r="F220" s="5">
        <v>2000</v>
      </c>
      <c r="G220" s="4" t="s">
        <v>35</v>
      </c>
      <c r="H220" s="4" t="s">
        <v>26</v>
      </c>
      <c r="I220" s="5">
        <v>9199115</v>
      </c>
      <c r="J220" s="4" t="s">
        <v>37</v>
      </c>
      <c r="K220" s="29" t="s">
        <v>50</v>
      </c>
      <c r="L220" s="5">
        <v>3157</v>
      </c>
      <c r="M220" s="5">
        <v>10600</v>
      </c>
      <c r="N220" s="5">
        <v>157</v>
      </c>
      <c r="O220" s="4" t="s">
        <v>23</v>
      </c>
      <c r="P220" s="11">
        <v>26</v>
      </c>
      <c r="Q220" s="5">
        <v>75</v>
      </c>
      <c r="R220" s="5">
        <v>18</v>
      </c>
      <c r="S220" s="4" t="s">
        <v>38</v>
      </c>
    </row>
    <row r="221" spans="1:19" ht="15" customHeight="1" x14ac:dyDescent="0.25">
      <c r="A221" s="13">
        <v>47</v>
      </c>
      <c r="B221" s="13" t="s">
        <v>599</v>
      </c>
      <c r="C221" s="13"/>
      <c r="D221" s="14" t="s">
        <v>160</v>
      </c>
      <c r="E221" s="15" t="s">
        <v>161</v>
      </c>
      <c r="F221" s="16">
        <v>2019</v>
      </c>
      <c r="G221" s="15" t="s">
        <v>162</v>
      </c>
      <c r="H221" s="15" t="s">
        <v>72</v>
      </c>
      <c r="I221" s="16"/>
      <c r="J221" s="15" t="s">
        <v>27</v>
      </c>
      <c r="K221" s="25" t="s">
        <v>163</v>
      </c>
      <c r="L221" s="16">
        <v>461</v>
      </c>
      <c r="M221" s="16">
        <v>1104</v>
      </c>
      <c r="N221" s="16"/>
      <c r="O221" s="15" t="s">
        <v>109</v>
      </c>
      <c r="P221" s="16">
        <v>7</v>
      </c>
      <c r="Q221" s="16">
        <v>36.6</v>
      </c>
      <c r="R221" s="16">
        <v>10.199999999999999</v>
      </c>
      <c r="S221" s="15" t="s">
        <v>110</v>
      </c>
    </row>
    <row r="222" spans="1:19" ht="15" customHeight="1" x14ac:dyDescent="0.25">
      <c r="A222" s="2">
        <v>11</v>
      </c>
      <c r="B222" s="2" t="s">
        <v>601</v>
      </c>
      <c r="C222" s="2" t="s">
        <v>620</v>
      </c>
      <c r="D222" s="3" t="s">
        <v>58</v>
      </c>
      <c r="E222" s="4" t="s">
        <v>49</v>
      </c>
      <c r="F222" s="5">
        <v>1997</v>
      </c>
      <c r="G222" s="4" t="s">
        <v>43</v>
      </c>
      <c r="H222" s="4" t="s">
        <v>26</v>
      </c>
      <c r="I222" s="5">
        <v>9157820</v>
      </c>
      <c r="J222" s="4" t="s">
        <v>44</v>
      </c>
      <c r="K222" s="29" t="s">
        <v>59</v>
      </c>
      <c r="L222" s="5">
        <v>3057</v>
      </c>
      <c r="M222" s="5">
        <v>12370</v>
      </c>
      <c r="N222" s="5">
        <v>190</v>
      </c>
      <c r="O222" s="4" t="s">
        <v>23</v>
      </c>
      <c r="P222" s="11">
        <v>29</v>
      </c>
      <c r="Q222" s="5">
        <v>74.900000000000006</v>
      </c>
      <c r="R222" s="5">
        <v>18</v>
      </c>
      <c r="S222" s="4" t="s">
        <v>38</v>
      </c>
    </row>
    <row r="223" spans="1:19" ht="15" customHeight="1" x14ac:dyDescent="0.25">
      <c r="A223" s="6">
        <v>241</v>
      </c>
      <c r="B223" s="6" t="s">
        <v>607</v>
      </c>
      <c r="C223" s="6" t="s">
        <v>620</v>
      </c>
      <c r="D223" s="7" t="s">
        <v>548</v>
      </c>
      <c r="E223" s="8" t="s">
        <v>361</v>
      </c>
      <c r="F223" s="9">
        <v>1985</v>
      </c>
      <c r="G223" s="8" t="s">
        <v>549</v>
      </c>
      <c r="H223" s="8" t="s">
        <v>98</v>
      </c>
      <c r="I223" s="9"/>
      <c r="J223" s="8" t="s">
        <v>44</v>
      </c>
      <c r="K223" s="24" t="s">
        <v>323</v>
      </c>
      <c r="L223" s="9"/>
      <c r="M223" s="9">
        <v>110</v>
      </c>
      <c r="N223" s="9"/>
      <c r="O223" s="8" t="s">
        <v>324</v>
      </c>
      <c r="P223" s="12">
        <v>41</v>
      </c>
      <c r="Q223" s="9">
        <v>19</v>
      </c>
      <c r="R223" s="9">
        <v>3.8</v>
      </c>
      <c r="S223" s="8" t="s">
        <v>28</v>
      </c>
    </row>
    <row r="224" spans="1:19" ht="15" customHeight="1" x14ac:dyDescent="0.25">
      <c r="A224" s="6">
        <v>242</v>
      </c>
      <c r="B224" s="6" t="s">
        <v>596</v>
      </c>
      <c r="C224" s="6"/>
      <c r="D224" s="7" t="s">
        <v>550</v>
      </c>
      <c r="E224" s="8" t="s">
        <v>551</v>
      </c>
      <c r="F224" s="9">
        <v>2013</v>
      </c>
      <c r="G224" s="8" t="s">
        <v>552</v>
      </c>
      <c r="H224" s="8" t="s">
        <v>98</v>
      </c>
      <c r="I224" s="9"/>
      <c r="J224" s="8" t="s">
        <v>64</v>
      </c>
      <c r="K224" s="24" t="s">
        <v>323</v>
      </c>
      <c r="L224" s="9"/>
      <c r="M224" s="9">
        <v>110.3</v>
      </c>
      <c r="N224" s="9"/>
      <c r="O224" s="8" t="s">
        <v>324</v>
      </c>
      <c r="P224" s="9">
        <v>13</v>
      </c>
      <c r="Q224" s="9">
        <v>5.92</v>
      </c>
      <c r="R224" s="9">
        <v>2.6</v>
      </c>
      <c r="S224" s="8" t="s">
        <v>65</v>
      </c>
    </row>
    <row r="225" spans="1:19" ht="15" customHeight="1" x14ac:dyDescent="0.25">
      <c r="A225" s="6">
        <v>243</v>
      </c>
      <c r="B225" s="6" t="s">
        <v>598</v>
      </c>
      <c r="C225" s="6" t="s">
        <v>625</v>
      </c>
      <c r="D225" s="7" t="s">
        <v>553</v>
      </c>
      <c r="E225" s="8" t="s">
        <v>554</v>
      </c>
      <c r="F225" s="9">
        <v>2011</v>
      </c>
      <c r="G225" s="8" t="s">
        <v>453</v>
      </c>
      <c r="H225" s="8" t="s">
        <v>98</v>
      </c>
      <c r="I225" s="9"/>
      <c r="J225" s="8" t="s">
        <v>73</v>
      </c>
      <c r="K225" s="24" t="s">
        <v>323</v>
      </c>
      <c r="L225" s="9"/>
      <c r="M225" s="9">
        <v>235.36</v>
      </c>
      <c r="N225" s="9"/>
      <c r="O225" s="8" t="s">
        <v>324</v>
      </c>
      <c r="P225" s="9">
        <v>15</v>
      </c>
      <c r="Q225" s="9">
        <v>8.6999999999999993</v>
      </c>
      <c r="R225" s="9">
        <v>3.5</v>
      </c>
      <c r="S225" s="8" t="s">
        <v>76</v>
      </c>
    </row>
    <row r="226" spans="1:19" ht="15" customHeight="1" x14ac:dyDescent="0.25">
      <c r="A226" s="13">
        <v>83</v>
      </c>
      <c r="B226" s="13" t="s">
        <v>599</v>
      </c>
      <c r="C226" s="13" t="s">
        <v>621</v>
      </c>
      <c r="D226" s="14" t="s">
        <v>235</v>
      </c>
      <c r="E226" s="15" t="s">
        <v>236</v>
      </c>
      <c r="F226" s="16">
        <v>1988</v>
      </c>
      <c r="G226" s="15" t="s">
        <v>35</v>
      </c>
      <c r="H226" s="15" t="s">
        <v>98</v>
      </c>
      <c r="I226" s="16">
        <v>8726014</v>
      </c>
      <c r="J226" s="15" t="s">
        <v>27</v>
      </c>
      <c r="K226" s="31" t="s">
        <v>237</v>
      </c>
      <c r="L226" s="16">
        <v>270</v>
      </c>
      <c r="M226" s="16">
        <v>1854</v>
      </c>
      <c r="N226" s="16">
        <v>30.6</v>
      </c>
      <c r="O226" s="15" t="s">
        <v>127</v>
      </c>
      <c r="P226" s="12">
        <v>38</v>
      </c>
      <c r="Q226" s="16">
        <v>35.229999999999997</v>
      </c>
      <c r="R226" s="16">
        <v>9</v>
      </c>
      <c r="S226" s="15" t="s">
        <v>28</v>
      </c>
    </row>
    <row r="227" spans="1:19" ht="15" customHeight="1" x14ac:dyDescent="0.25">
      <c r="A227" s="6">
        <v>244</v>
      </c>
      <c r="B227" s="6" t="s">
        <v>596</v>
      </c>
      <c r="C227" s="6"/>
      <c r="D227" s="7" t="s">
        <v>555</v>
      </c>
      <c r="E227" s="8" t="s">
        <v>423</v>
      </c>
      <c r="F227" s="9">
        <v>2022</v>
      </c>
      <c r="G227" s="8" t="s">
        <v>421</v>
      </c>
      <c r="H227" s="8" t="s">
        <v>98</v>
      </c>
      <c r="I227" s="9"/>
      <c r="J227" s="8" t="s">
        <v>44</v>
      </c>
      <c r="K227" s="24" t="s">
        <v>323</v>
      </c>
      <c r="L227" s="9"/>
      <c r="M227" s="9">
        <v>44.1</v>
      </c>
      <c r="N227" s="9"/>
      <c r="O227" s="8" t="s">
        <v>324</v>
      </c>
      <c r="P227" s="9">
        <v>4</v>
      </c>
      <c r="Q227" s="9">
        <v>5.4</v>
      </c>
      <c r="R227" s="9">
        <v>2.23</v>
      </c>
      <c r="S227" s="8" t="s">
        <v>28</v>
      </c>
    </row>
    <row r="228" spans="1:19" ht="15" customHeight="1" x14ac:dyDescent="0.25">
      <c r="A228" s="6">
        <v>128</v>
      </c>
      <c r="B228" s="6" t="s">
        <v>597</v>
      </c>
      <c r="C228" s="6" t="s">
        <v>622</v>
      </c>
      <c r="D228" s="7" t="s">
        <v>339</v>
      </c>
      <c r="E228" s="8" t="s">
        <v>328</v>
      </c>
      <c r="F228" s="9">
        <v>2018</v>
      </c>
      <c r="G228" s="8" t="s">
        <v>329</v>
      </c>
      <c r="H228" s="8" t="s">
        <v>98</v>
      </c>
      <c r="I228" s="9"/>
      <c r="J228" s="8" t="s">
        <v>32</v>
      </c>
      <c r="K228" s="32" t="s">
        <v>330</v>
      </c>
      <c r="L228" s="9">
        <v>56</v>
      </c>
      <c r="M228" s="9">
        <v>1176</v>
      </c>
      <c r="N228" s="9"/>
      <c r="O228" s="8" t="s">
        <v>127</v>
      </c>
      <c r="P228" s="9">
        <v>8</v>
      </c>
      <c r="Q228" s="9">
        <v>20.97</v>
      </c>
      <c r="R228" s="9">
        <v>5</v>
      </c>
      <c r="S228" s="8" t="s">
        <v>34</v>
      </c>
    </row>
    <row r="229" spans="1:19" ht="15" customHeight="1" x14ac:dyDescent="0.25">
      <c r="A229" s="2">
        <v>21</v>
      </c>
      <c r="B229" s="2" t="s">
        <v>601</v>
      </c>
      <c r="C229" s="2" t="s">
        <v>620</v>
      </c>
      <c r="D229" s="3" t="s">
        <v>87</v>
      </c>
      <c r="E229" s="4" t="s">
        <v>88</v>
      </c>
      <c r="F229" s="5">
        <v>2015</v>
      </c>
      <c r="G229" s="4" t="s">
        <v>31</v>
      </c>
      <c r="H229" s="4" t="s">
        <v>26</v>
      </c>
      <c r="I229" s="5">
        <v>9681443</v>
      </c>
      <c r="J229" s="4" t="s">
        <v>64</v>
      </c>
      <c r="K229" s="29" t="s">
        <v>89</v>
      </c>
      <c r="L229" s="5">
        <v>2532</v>
      </c>
      <c r="M229" s="5">
        <v>5760</v>
      </c>
      <c r="N229" s="5">
        <v>61.6</v>
      </c>
      <c r="O229" s="4" t="s">
        <v>23</v>
      </c>
      <c r="P229" s="5">
        <v>11</v>
      </c>
      <c r="Q229" s="5">
        <v>73</v>
      </c>
      <c r="R229" s="5">
        <v>15.5</v>
      </c>
      <c r="S229" s="4" t="s">
        <v>65</v>
      </c>
    </row>
    <row r="230" spans="1:19" ht="15" customHeight="1" x14ac:dyDescent="0.25">
      <c r="A230" s="2">
        <v>22</v>
      </c>
      <c r="B230" s="2" t="s">
        <v>601</v>
      </c>
      <c r="C230" s="2" t="s">
        <v>626</v>
      </c>
      <c r="D230" s="3" t="s">
        <v>90</v>
      </c>
      <c r="E230" s="4" t="s">
        <v>88</v>
      </c>
      <c r="F230" s="5">
        <v>2014</v>
      </c>
      <c r="G230" s="4" t="s">
        <v>31</v>
      </c>
      <c r="H230" s="4" t="s">
        <v>26</v>
      </c>
      <c r="I230" s="5">
        <v>9593945</v>
      </c>
      <c r="J230" s="4" t="s">
        <v>21</v>
      </c>
      <c r="K230" s="29" t="s">
        <v>89</v>
      </c>
      <c r="L230" s="5">
        <v>2532</v>
      </c>
      <c r="M230" s="5">
        <v>5760</v>
      </c>
      <c r="N230" s="5">
        <v>73.5</v>
      </c>
      <c r="O230" s="4" t="s">
        <v>23</v>
      </c>
      <c r="P230" s="5">
        <v>12</v>
      </c>
      <c r="Q230" s="5">
        <v>73</v>
      </c>
      <c r="R230" s="5">
        <v>15.5</v>
      </c>
      <c r="S230" s="4" t="s">
        <v>24</v>
      </c>
    </row>
    <row r="231" spans="1:19" ht="15" customHeight="1" x14ac:dyDescent="0.25">
      <c r="A231" s="2">
        <v>23</v>
      </c>
      <c r="B231" s="2" t="s">
        <v>601</v>
      </c>
      <c r="C231" s="2" t="s">
        <v>619</v>
      </c>
      <c r="D231" s="3" t="s">
        <v>91</v>
      </c>
      <c r="E231" s="4" t="s">
        <v>88</v>
      </c>
      <c r="F231" s="5">
        <v>2023</v>
      </c>
      <c r="G231" s="4" t="s">
        <v>31</v>
      </c>
      <c r="H231" s="4" t="s">
        <v>26</v>
      </c>
      <c r="I231" s="5">
        <v>9830549</v>
      </c>
      <c r="J231" s="4" t="s">
        <v>64</v>
      </c>
      <c r="K231" s="29" t="s">
        <v>89</v>
      </c>
      <c r="L231" s="5">
        <v>2532</v>
      </c>
      <c r="M231" s="5">
        <v>6160</v>
      </c>
      <c r="N231" s="5">
        <v>73.5</v>
      </c>
      <c r="O231" s="4" t="s">
        <v>23</v>
      </c>
      <c r="P231" s="5">
        <v>3</v>
      </c>
      <c r="Q231" s="5">
        <v>73</v>
      </c>
      <c r="R231" s="5">
        <v>15.5</v>
      </c>
      <c r="S231" s="4" t="s">
        <v>65</v>
      </c>
    </row>
    <row r="232" spans="1:19" ht="15" customHeight="1" x14ac:dyDescent="0.25">
      <c r="A232" s="2">
        <v>24</v>
      </c>
      <c r="B232" s="2" t="s">
        <v>601</v>
      </c>
      <c r="C232" s="2" t="s">
        <v>622</v>
      </c>
      <c r="D232" s="3" t="s">
        <v>92</v>
      </c>
      <c r="E232" s="4" t="s">
        <v>88</v>
      </c>
      <c r="F232" s="5">
        <v>2013</v>
      </c>
      <c r="G232" s="4" t="s">
        <v>31</v>
      </c>
      <c r="H232" s="4" t="s">
        <v>26</v>
      </c>
      <c r="I232" s="5">
        <v>9593933</v>
      </c>
      <c r="J232" s="4" t="s">
        <v>32</v>
      </c>
      <c r="K232" s="29" t="s">
        <v>93</v>
      </c>
      <c r="L232" s="5">
        <v>2532</v>
      </c>
      <c r="M232" s="5">
        <v>5760</v>
      </c>
      <c r="N232" s="5">
        <v>73.5</v>
      </c>
      <c r="O232" s="4" t="s">
        <v>23</v>
      </c>
      <c r="P232" s="5">
        <v>13</v>
      </c>
      <c r="Q232" s="5">
        <v>73</v>
      </c>
      <c r="R232" s="5">
        <v>15.5</v>
      </c>
      <c r="S232" s="4" t="s">
        <v>34</v>
      </c>
    </row>
    <row r="233" spans="1:19" ht="15" customHeight="1" x14ac:dyDescent="0.25">
      <c r="A233" s="2">
        <v>25</v>
      </c>
      <c r="B233" s="2" t="s">
        <v>601</v>
      </c>
      <c r="C233" s="2" t="s">
        <v>621</v>
      </c>
      <c r="D233" s="3" t="s">
        <v>94</v>
      </c>
      <c r="E233" s="4" t="s">
        <v>88</v>
      </c>
      <c r="F233" s="5">
        <v>2013</v>
      </c>
      <c r="G233" s="4" t="s">
        <v>31</v>
      </c>
      <c r="H233" s="4" t="s">
        <v>26</v>
      </c>
      <c r="I233" s="5">
        <v>9497531</v>
      </c>
      <c r="J233" s="4" t="s">
        <v>27</v>
      </c>
      <c r="K233" s="29" t="s">
        <v>95</v>
      </c>
      <c r="L233" s="5">
        <v>2530</v>
      </c>
      <c r="M233" s="5">
        <v>5760</v>
      </c>
      <c r="N233" s="5">
        <v>68.3</v>
      </c>
      <c r="O233" s="4" t="s">
        <v>23</v>
      </c>
      <c r="P233" s="5">
        <v>13</v>
      </c>
      <c r="Q233" s="5">
        <v>73</v>
      </c>
      <c r="R233" s="5">
        <v>15.5</v>
      </c>
      <c r="S233" s="4" t="s">
        <v>28</v>
      </c>
    </row>
    <row r="234" spans="1:19" ht="15" customHeight="1" x14ac:dyDescent="0.25">
      <c r="A234" s="6">
        <v>246</v>
      </c>
      <c r="B234" s="6" t="s">
        <v>598</v>
      </c>
      <c r="C234" s="6" t="s">
        <v>619</v>
      </c>
      <c r="D234" s="7" t="s">
        <v>556</v>
      </c>
      <c r="E234" s="8" t="s">
        <v>558</v>
      </c>
      <c r="F234" s="9">
        <v>2012</v>
      </c>
      <c r="G234" s="8" t="s">
        <v>421</v>
      </c>
      <c r="H234" s="8" t="s">
        <v>98</v>
      </c>
      <c r="I234" s="9"/>
      <c r="J234" s="8" t="s">
        <v>64</v>
      </c>
      <c r="K234" s="24" t="s">
        <v>323</v>
      </c>
      <c r="L234" s="9"/>
      <c r="M234" s="9">
        <v>58.8</v>
      </c>
      <c r="N234" s="9"/>
      <c r="O234" s="8" t="s">
        <v>324</v>
      </c>
      <c r="P234" s="9">
        <v>14</v>
      </c>
      <c r="Q234" s="9">
        <v>4.7</v>
      </c>
      <c r="R234" s="9">
        <v>2.12</v>
      </c>
      <c r="S234" s="8" t="s">
        <v>65</v>
      </c>
    </row>
    <row r="235" spans="1:19" ht="15" customHeight="1" x14ac:dyDescent="0.25">
      <c r="A235" s="6">
        <v>245</v>
      </c>
      <c r="B235" s="6" t="s">
        <v>596</v>
      </c>
      <c r="C235" s="6"/>
      <c r="D235" s="7" t="s">
        <v>556</v>
      </c>
      <c r="E235" s="8" t="s">
        <v>557</v>
      </c>
      <c r="F235" s="9">
        <v>2017</v>
      </c>
      <c r="G235" s="8" t="s">
        <v>439</v>
      </c>
      <c r="H235" s="8" t="s">
        <v>98</v>
      </c>
      <c r="I235" s="9"/>
      <c r="J235" s="8" t="s">
        <v>73</v>
      </c>
      <c r="K235" s="24" t="s">
        <v>323</v>
      </c>
      <c r="L235" s="9"/>
      <c r="M235" s="9">
        <v>380</v>
      </c>
      <c r="N235" s="9"/>
      <c r="O235" s="8" t="s">
        <v>324</v>
      </c>
      <c r="P235" s="9">
        <v>9</v>
      </c>
      <c r="Q235" s="9">
        <v>9</v>
      </c>
      <c r="R235" s="9">
        <v>3.16</v>
      </c>
      <c r="S235" s="8" t="s">
        <v>76</v>
      </c>
    </row>
    <row r="236" spans="1:19" ht="15" customHeight="1" x14ac:dyDescent="0.25">
      <c r="A236" s="6">
        <v>247</v>
      </c>
      <c r="B236" s="6" t="s">
        <v>597</v>
      </c>
      <c r="C236" s="6"/>
      <c r="D236" s="7" t="s">
        <v>556</v>
      </c>
      <c r="E236" s="8" t="s">
        <v>559</v>
      </c>
      <c r="F236" s="9">
        <v>2020</v>
      </c>
      <c r="G236" s="8" t="s">
        <v>542</v>
      </c>
      <c r="H236" s="8" t="s">
        <v>98</v>
      </c>
      <c r="I236" s="9"/>
      <c r="J236" s="8" t="s">
        <v>32</v>
      </c>
      <c r="K236" s="24" t="s">
        <v>323</v>
      </c>
      <c r="L236" s="9"/>
      <c r="M236" s="9">
        <v>29.4</v>
      </c>
      <c r="N236" s="9"/>
      <c r="O236" s="8" t="s">
        <v>324</v>
      </c>
      <c r="P236" s="9">
        <v>6</v>
      </c>
      <c r="Q236" s="9">
        <v>5.2</v>
      </c>
      <c r="R236" s="9">
        <v>1.75</v>
      </c>
      <c r="S236" s="8" t="s">
        <v>34</v>
      </c>
    </row>
    <row r="237" spans="1:19" ht="15" customHeight="1" x14ac:dyDescent="0.25">
      <c r="A237" s="6">
        <v>248</v>
      </c>
      <c r="B237" s="6" t="s">
        <v>596</v>
      </c>
      <c r="C237" s="6"/>
      <c r="D237" s="7" t="s">
        <v>560</v>
      </c>
      <c r="E237" s="8" t="s">
        <v>497</v>
      </c>
      <c r="F237" s="9">
        <v>2014</v>
      </c>
      <c r="G237" s="8" t="s">
        <v>421</v>
      </c>
      <c r="H237" s="8" t="s">
        <v>98</v>
      </c>
      <c r="I237" s="9"/>
      <c r="J237" s="8" t="s">
        <v>64</v>
      </c>
      <c r="K237" s="24" t="s">
        <v>323</v>
      </c>
      <c r="L237" s="9"/>
      <c r="M237" s="9">
        <v>324</v>
      </c>
      <c r="N237" s="9"/>
      <c r="O237" s="8" t="s">
        <v>324</v>
      </c>
      <c r="P237" s="9">
        <v>12</v>
      </c>
      <c r="Q237" s="9">
        <v>8.58</v>
      </c>
      <c r="R237" s="9">
        <v>2.65</v>
      </c>
      <c r="S237" s="8" t="s">
        <v>65</v>
      </c>
    </row>
    <row r="238" spans="1:19" ht="15" customHeight="1" x14ac:dyDescent="0.25">
      <c r="A238" s="6">
        <v>250</v>
      </c>
      <c r="B238" s="6" t="s">
        <v>597</v>
      </c>
      <c r="C238" s="6"/>
      <c r="D238" s="7" t="s">
        <v>560</v>
      </c>
      <c r="E238" s="8" t="s">
        <v>557</v>
      </c>
      <c r="F238" s="9">
        <v>2017</v>
      </c>
      <c r="G238" s="8" t="s">
        <v>439</v>
      </c>
      <c r="H238" s="8" t="s">
        <v>98</v>
      </c>
      <c r="I238" s="9"/>
      <c r="J238" s="8" t="s">
        <v>73</v>
      </c>
      <c r="K238" s="24" t="s">
        <v>323</v>
      </c>
      <c r="L238" s="9"/>
      <c r="M238" s="9">
        <v>29.4</v>
      </c>
      <c r="N238" s="9"/>
      <c r="O238" s="8" t="s">
        <v>324</v>
      </c>
      <c r="P238" s="9">
        <v>9</v>
      </c>
      <c r="Q238" s="9">
        <v>4.3</v>
      </c>
      <c r="R238" s="9">
        <v>2.12</v>
      </c>
      <c r="S238" s="8" t="s">
        <v>76</v>
      </c>
    </row>
    <row r="239" spans="1:19" ht="15" customHeight="1" x14ac:dyDescent="0.25">
      <c r="A239" s="6">
        <v>249</v>
      </c>
      <c r="B239" s="6" t="s">
        <v>598</v>
      </c>
      <c r="C239" s="6"/>
      <c r="D239" s="7" t="s">
        <v>560</v>
      </c>
      <c r="E239" s="8" t="s">
        <v>559</v>
      </c>
      <c r="F239" s="9">
        <v>2019</v>
      </c>
      <c r="G239" s="8" t="s">
        <v>542</v>
      </c>
      <c r="H239" s="8" t="s">
        <v>98</v>
      </c>
      <c r="I239" s="9"/>
      <c r="J239" s="8" t="s">
        <v>32</v>
      </c>
      <c r="K239" s="24" t="s">
        <v>323</v>
      </c>
      <c r="L239" s="9"/>
      <c r="M239" s="9">
        <v>44.1</v>
      </c>
      <c r="N239" s="9"/>
      <c r="O239" s="8" t="s">
        <v>324</v>
      </c>
      <c r="P239" s="9">
        <v>7</v>
      </c>
      <c r="Q239" s="9">
        <v>5.2</v>
      </c>
      <c r="R239" s="9">
        <v>1.75</v>
      </c>
      <c r="S239" s="8" t="s">
        <v>34</v>
      </c>
    </row>
    <row r="240" spans="1:19" ht="15" customHeight="1" x14ac:dyDescent="0.25">
      <c r="A240" s="6">
        <v>251</v>
      </c>
      <c r="B240" s="6" t="s">
        <v>597</v>
      </c>
      <c r="C240" s="6"/>
      <c r="D240" s="7" t="s">
        <v>561</v>
      </c>
      <c r="E240" s="8" t="s">
        <v>559</v>
      </c>
      <c r="F240" s="9">
        <v>2020</v>
      </c>
      <c r="G240" s="8" t="s">
        <v>542</v>
      </c>
      <c r="H240" s="8" t="s">
        <v>98</v>
      </c>
      <c r="I240" s="9"/>
      <c r="J240" s="8" t="s">
        <v>32</v>
      </c>
      <c r="K240" s="24" t="s">
        <v>323</v>
      </c>
      <c r="L240" s="9"/>
      <c r="M240" s="9">
        <v>29.4</v>
      </c>
      <c r="N240" s="9"/>
      <c r="O240" s="8" t="s">
        <v>324</v>
      </c>
      <c r="P240" s="9">
        <v>6</v>
      </c>
      <c r="Q240" s="9">
        <v>4.3</v>
      </c>
      <c r="R240" s="9">
        <v>2.12</v>
      </c>
      <c r="S240" s="8" t="s">
        <v>34</v>
      </c>
    </row>
    <row r="241" spans="1:19" ht="15" customHeight="1" x14ac:dyDescent="0.25">
      <c r="A241" s="6">
        <v>252</v>
      </c>
      <c r="B241" s="6" t="s">
        <v>597</v>
      </c>
      <c r="C241" s="6"/>
      <c r="D241" s="7" t="s">
        <v>562</v>
      </c>
      <c r="E241" s="8" t="s">
        <v>559</v>
      </c>
      <c r="F241" s="9">
        <v>2020</v>
      </c>
      <c r="G241" s="8" t="s">
        <v>542</v>
      </c>
      <c r="H241" s="8" t="s">
        <v>98</v>
      </c>
      <c r="I241" s="9"/>
      <c r="J241" s="8" t="s">
        <v>32</v>
      </c>
      <c r="K241" s="24" t="s">
        <v>323</v>
      </c>
      <c r="L241" s="9"/>
      <c r="M241" s="9">
        <v>29.4</v>
      </c>
      <c r="N241" s="9"/>
      <c r="O241" s="8" t="s">
        <v>324</v>
      </c>
      <c r="P241" s="9">
        <v>6</v>
      </c>
      <c r="Q241" s="9">
        <v>4.3</v>
      </c>
      <c r="R241" s="9">
        <v>2.12</v>
      </c>
      <c r="S241" s="8" t="s">
        <v>34</v>
      </c>
    </row>
    <row r="242" spans="1:19" ht="15" customHeight="1" x14ac:dyDescent="0.25">
      <c r="A242" s="6">
        <v>253</v>
      </c>
      <c r="B242" s="6" t="s">
        <v>597</v>
      </c>
      <c r="C242" s="6"/>
      <c r="D242" s="7" t="s">
        <v>563</v>
      </c>
      <c r="E242" s="8" t="s">
        <v>559</v>
      </c>
      <c r="F242" s="9">
        <v>2020</v>
      </c>
      <c r="G242" s="8" t="s">
        <v>542</v>
      </c>
      <c r="H242" s="8" t="s">
        <v>98</v>
      </c>
      <c r="I242" s="9"/>
      <c r="J242" s="8" t="s">
        <v>32</v>
      </c>
      <c r="K242" s="24" t="s">
        <v>323</v>
      </c>
      <c r="L242" s="9"/>
      <c r="M242" s="9">
        <v>29.4</v>
      </c>
      <c r="N242" s="9"/>
      <c r="O242" s="8" t="s">
        <v>324</v>
      </c>
      <c r="P242" s="9">
        <v>6</v>
      </c>
      <c r="Q242" s="9">
        <v>4.3</v>
      </c>
      <c r="R242" s="9">
        <v>2.12</v>
      </c>
      <c r="S242" s="8" t="s">
        <v>34</v>
      </c>
    </row>
    <row r="243" spans="1:19" ht="15" customHeight="1" x14ac:dyDescent="0.25">
      <c r="A243" s="6">
        <v>42</v>
      </c>
      <c r="B243" s="6" t="s">
        <v>610</v>
      </c>
      <c r="C243" s="6"/>
      <c r="D243" s="7" t="s">
        <v>147</v>
      </c>
      <c r="E243" s="8" t="s">
        <v>148</v>
      </c>
      <c r="F243" s="9">
        <v>1989</v>
      </c>
      <c r="G243" s="8" t="s">
        <v>149</v>
      </c>
      <c r="H243" s="8" t="s">
        <v>98</v>
      </c>
      <c r="I243" s="9">
        <v>8729092</v>
      </c>
      <c r="J243" s="8" t="s">
        <v>37</v>
      </c>
      <c r="K243" s="24" t="s">
        <v>150</v>
      </c>
      <c r="L243" s="9">
        <v>606</v>
      </c>
      <c r="M243" s="9"/>
      <c r="N243" s="9"/>
      <c r="O243" s="8" t="s">
        <v>127</v>
      </c>
      <c r="P243" s="12">
        <v>37</v>
      </c>
      <c r="Q243" s="9">
        <v>36.520000000000003</v>
      </c>
      <c r="R243" s="9">
        <v>18.5</v>
      </c>
      <c r="S243" s="8" t="s">
        <v>38</v>
      </c>
    </row>
    <row r="244" spans="1:19" ht="15" customHeight="1" x14ac:dyDescent="0.25">
      <c r="A244" s="6">
        <v>254</v>
      </c>
      <c r="B244" s="6" t="s">
        <v>598</v>
      </c>
      <c r="C244" s="6" t="s">
        <v>619</v>
      </c>
      <c r="D244" s="7" t="s">
        <v>564</v>
      </c>
      <c r="E244" s="8" t="s">
        <v>565</v>
      </c>
      <c r="F244" s="9">
        <v>2006</v>
      </c>
      <c r="G244" s="8" t="s">
        <v>421</v>
      </c>
      <c r="H244" s="8" t="s">
        <v>98</v>
      </c>
      <c r="I244" s="9"/>
      <c r="J244" s="8" t="s">
        <v>64</v>
      </c>
      <c r="K244" s="24" t="s">
        <v>323</v>
      </c>
      <c r="L244" s="9"/>
      <c r="M244" s="9">
        <v>250</v>
      </c>
      <c r="N244" s="9"/>
      <c r="O244" s="8" t="s">
        <v>127</v>
      </c>
      <c r="P244" s="9">
        <v>20</v>
      </c>
      <c r="Q244" s="9">
        <v>7.56</v>
      </c>
      <c r="R244" s="9">
        <v>2.14</v>
      </c>
      <c r="S244" s="8" t="s">
        <v>65</v>
      </c>
    </row>
    <row r="245" spans="1:19" ht="15" customHeight="1" x14ac:dyDescent="0.25">
      <c r="A245" s="13">
        <v>64</v>
      </c>
      <c r="B245" s="13" t="s">
        <v>603</v>
      </c>
      <c r="C245" s="13" t="s">
        <v>625</v>
      </c>
      <c r="D245" s="14" t="s">
        <v>195</v>
      </c>
      <c r="E245" s="15" t="s">
        <v>190</v>
      </c>
      <c r="F245" s="16">
        <v>2010</v>
      </c>
      <c r="G245" s="15" t="s">
        <v>191</v>
      </c>
      <c r="H245" s="15" t="s">
        <v>98</v>
      </c>
      <c r="I245" s="16">
        <v>9572159</v>
      </c>
      <c r="J245" s="15" t="s">
        <v>73</v>
      </c>
      <c r="K245" s="25" t="s">
        <v>196</v>
      </c>
      <c r="L245" s="16">
        <v>367</v>
      </c>
      <c r="M245" s="16">
        <v>882</v>
      </c>
      <c r="N245" s="16"/>
      <c r="O245" s="15" t="s">
        <v>109</v>
      </c>
      <c r="P245" s="16">
        <v>16</v>
      </c>
      <c r="Q245" s="16">
        <v>38.35</v>
      </c>
      <c r="R245" s="16">
        <v>7.7</v>
      </c>
      <c r="S245" s="15" t="s">
        <v>76</v>
      </c>
    </row>
    <row r="246" spans="1:19" ht="15" customHeight="1" x14ac:dyDescent="0.25">
      <c r="A246" s="13">
        <v>71</v>
      </c>
      <c r="B246" s="13" t="s">
        <v>599</v>
      </c>
      <c r="C246" s="13" t="s">
        <v>620</v>
      </c>
      <c r="D246" s="14" t="s">
        <v>213</v>
      </c>
      <c r="E246" s="15" t="s">
        <v>209</v>
      </c>
      <c r="F246" s="16">
        <v>2024</v>
      </c>
      <c r="G246" s="15" t="s">
        <v>35</v>
      </c>
      <c r="H246" s="15" t="s">
        <v>98</v>
      </c>
      <c r="I246" s="16">
        <v>9982768</v>
      </c>
      <c r="J246" s="15" t="s">
        <v>37</v>
      </c>
      <c r="K246" s="34" t="s">
        <v>211</v>
      </c>
      <c r="L246" s="16">
        <v>299</v>
      </c>
      <c r="M246" s="16">
        <v>1492</v>
      </c>
      <c r="N246" s="16">
        <v>27</v>
      </c>
      <c r="O246" s="15" t="s">
        <v>141</v>
      </c>
      <c r="P246" s="16">
        <v>2</v>
      </c>
      <c r="Q246" s="16">
        <v>29</v>
      </c>
      <c r="R246" s="16">
        <v>10</v>
      </c>
      <c r="S246" s="15" t="s">
        <v>38</v>
      </c>
    </row>
    <row r="247" spans="1:19" ht="15" customHeight="1" x14ac:dyDescent="0.25">
      <c r="A247" s="13">
        <v>72</v>
      </c>
      <c r="B247" s="13" t="s">
        <v>599</v>
      </c>
      <c r="C247" s="13" t="s">
        <v>620</v>
      </c>
      <c r="D247" s="14" t="s">
        <v>214</v>
      </c>
      <c r="E247" s="15" t="s">
        <v>209</v>
      </c>
      <c r="F247" s="16">
        <v>2024</v>
      </c>
      <c r="G247" s="15" t="s">
        <v>35</v>
      </c>
      <c r="H247" s="15" t="s">
        <v>98</v>
      </c>
      <c r="I247" s="16">
        <v>9982756</v>
      </c>
      <c r="J247" s="15" t="s">
        <v>37</v>
      </c>
      <c r="K247" s="34" t="s">
        <v>211</v>
      </c>
      <c r="L247" s="16">
        <v>299</v>
      </c>
      <c r="M247" s="16">
        <v>1492</v>
      </c>
      <c r="N247" s="16">
        <v>27</v>
      </c>
      <c r="O247" s="15" t="s">
        <v>141</v>
      </c>
      <c r="P247" s="16">
        <v>2</v>
      </c>
      <c r="Q247" s="16">
        <v>29</v>
      </c>
      <c r="R247" s="16">
        <v>10</v>
      </c>
      <c r="S247" s="15" t="s">
        <v>38</v>
      </c>
    </row>
    <row r="248" spans="1:19" ht="15" customHeight="1" x14ac:dyDescent="0.25">
      <c r="A248" s="13">
        <v>65</v>
      </c>
      <c r="B248" s="13" t="s">
        <v>603</v>
      </c>
      <c r="C248" s="13" t="s">
        <v>625</v>
      </c>
      <c r="D248" s="14" t="s">
        <v>197</v>
      </c>
      <c r="E248" s="15" t="s">
        <v>190</v>
      </c>
      <c r="F248" s="16">
        <v>2011</v>
      </c>
      <c r="G248" s="15" t="s">
        <v>191</v>
      </c>
      <c r="H248" s="15" t="s">
        <v>98</v>
      </c>
      <c r="I248" s="16">
        <v>9587403</v>
      </c>
      <c r="J248" s="15" t="s">
        <v>73</v>
      </c>
      <c r="K248" s="25" t="s">
        <v>196</v>
      </c>
      <c r="L248" s="16">
        <v>367</v>
      </c>
      <c r="M248" s="16">
        <v>882</v>
      </c>
      <c r="N248" s="16"/>
      <c r="O248" s="15" t="s">
        <v>109</v>
      </c>
      <c r="P248" s="16">
        <v>15</v>
      </c>
      <c r="Q248" s="16">
        <v>38.35</v>
      </c>
      <c r="R248" s="16">
        <v>7.7</v>
      </c>
      <c r="S248" s="15" t="s">
        <v>76</v>
      </c>
    </row>
    <row r="249" spans="1:19" ht="15" customHeight="1" x14ac:dyDescent="0.25">
      <c r="A249" s="13">
        <v>73</v>
      </c>
      <c r="B249" s="13" t="s">
        <v>599</v>
      </c>
      <c r="C249" s="13" t="s">
        <v>623</v>
      </c>
      <c r="D249" s="14" t="s">
        <v>215</v>
      </c>
      <c r="E249" s="15" t="s">
        <v>209</v>
      </c>
      <c r="F249" s="16">
        <v>2024</v>
      </c>
      <c r="G249" s="15" t="s">
        <v>35</v>
      </c>
      <c r="H249" s="15" t="s">
        <v>98</v>
      </c>
      <c r="I249" s="16">
        <v>9982794</v>
      </c>
      <c r="J249" s="15" t="s">
        <v>210</v>
      </c>
      <c r="K249" s="34" t="s">
        <v>211</v>
      </c>
      <c r="L249" s="16">
        <v>299</v>
      </c>
      <c r="M249" s="16">
        <v>1492</v>
      </c>
      <c r="N249" s="16">
        <v>27</v>
      </c>
      <c r="O249" s="15" t="s">
        <v>141</v>
      </c>
      <c r="P249" s="16">
        <v>2</v>
      </c>
      <c r="Q249" s="16">
        <v>29</v>
      </c>
      <c r="R249" s="16">
        <v>10</v>
      </c>
      <c r="S249" s="15" t="s">
        <v>212</v>
      </c>
    </row>
    <row r="250" spans="1:19" ht="15" customHeight="1" x14ac:dyDescent="0.25">
      <c r="A250" s="2">
        <v>9</v>
      </c>
      <c r="B250" s="2" t="s">
        <v>601</v>
      </c>
      <c r="C250" s="2" t="s">
        <v>626</v>
      </c>
      <c r="D250" s="3" t="s">
        <v>51</v>
      </c>
      <c r="E250" s="4" t="s">
        <v>52</v>
      </c>
      <c r="F250" s="5">
        <v>1998</v>
      </c>
      <c r="G250" s="4" t="s">
        <v>53</v>
      </c>
      <c r="H250" s="4" t="s">
        <v>26</v>
      </c>
      <c r="I250" s="5">
        <v>9171620</v>
      </c>
      <c r="J250" s="4" t="s">
        <v>44</v>
      </c>
      <c r="K250" s="28" t="s">
        <v>54</v>
      </c>
      <c r="L250" s="5">
        <v>3153</v>
      </c>
      <c r="M250" s="5">
        <v>10588</v>
      </c>
      <c r="N250" s="5">
        <v>162</v>
      </c>
      <c r="O250" s="4" t="s">
        <v>23</v>
      </c>
      <c r="P250" s="11">
        <v>28</v>
      </c>
      <c r="Q250" s="5">
        <v>79.8</v>
      </c>
      <c r="R250" s="5">
        <v>18</v>
      </c>
      <c r="S250" s="4" t="s">
        <v>38</v>
      </c>
    </row>
    <row r="251" spans="1:19" ht="15" customHeight="1" x14ac:dyDescent="0.25">
      <c r="A251" s="6">
        <v>256</v>
      </c>
      <c r="B251" s="6" t="s">
        <v>597</v>
      </c>
      <c r="C251" s="6"/>
      <c r="D251" s="7" t="s">
        <v>568</v>
      </c>
      <c r="E251" s="8" t="s">
        <v>412</v>
      </c>
      <c r="F251" s="9">
        <v>2011</v>
      </c>
      <c r="G251" s="8" t="s">
        <v>329</v>
      </c>
      <c r="H251" s="8" t="s">
        <v>98</v>
      </c>
      <c r="I251" s="9"/>
      <c r="J251" s="8" t="s">
        <v>37</v>
      </c>
      <c r="K251" s="24" t="s">
        <v>323</v>
      </c>
      <c r="L251" s="9"/>
      <c r="M251" s="9">
        <v>169.1</v>
      </c>
      <c r="N251" s="9"/>
      <c r="O251" s="8" t="s">
        <v>324</v>
      </c>
      <c r="P251" s="9">
        <v>15</v>
      </c>
      <c r="Q251" s="9">
        <v>7.8</v>
      </c>
      <c r="R251" s="9">
        <v>2.5</v>
      </c>
      <c r="S251" s="8" t="s">
        <v>38</v>
      </c>
    </row>
    <row r="252" spans="1:19" ht="15" customHeight="1" x14ac:dyDescent="0.25">
      <c r="A252" s="6">
        <v>257</v>
      </c>
      <c r="B252" s="6" t="s">
        <v>597</v>
      </c>
      <c r="C252" s="6"/>
      <c r="D252" s="7" t="s">
        <v>569</v>
      </c>
      <c r="E252" s="8" t="s">
        <v>412</v>
      </c>
      <c r="F252" s="9">
        <v>2011</v>
      </c>
      <c r="G252" s="8" t="s">
        <v>329</v>
      </c>
      <c r="H252" s="8" t="s">
        <v>98</v>
      </c>
      <c r="I252" s="9"/>
      <c r="J252" s="8" t="s">
        <v>37</v>
      </c>
      <c r="K252" s="24" t="s">
        <v>323</v>
      </c>
      <c r="L252" s="9"/>
      <c r="M252" s="9">
        <v>169.1</v>
      </c>
      <c r="N252" s="9"/>
      <c r="O252" s="8" t="s">
        <v>324</v>
      </c>
      <c r="P252" s="9">
        <v>15</v>
      </c>
      <c r="Q252" s="9">
        <v>7.8</v>
      </c>
      <c r="R252" s="9">
        <v>2.5</v>
      </c>
      <c r="S252" s="8" t="s">
        <v>38</v>
      </c>
    </row>
    <row r="253" spans="1:19" ht="15" customHeight="1" x14ac:dyDescent="0.25">
      <c r="A253" s="6">
        <v>258</v>
      </c>
      <c r="B253" s="6" t="s">
        <v>597</v>
      </c>
      <c r="C253" s="6"/>
      <c r="D253" s="7" t="s">
        <v>570</v>
      </c>
      <c r="E253" s="8" t="s">
        <v>412</v>
      </c>
      <c r="F253" s="9">
        <v>2012</v>
      </c>
      <c r="G253" s="8" t="s">
        <v>329</v>
      </c>
      <c r="H253" s="8" t="s">
        <v>98</v>
      </c>
      <c r="I253" s="9"/>
      <c r="J253" s="8" t="s">
        <v>37</v>
      </c>
      <c r="K253" s="24" t="s">
        <v>323</v>
      </c>
      <c r="L253" s="9"/>
      <c r="M253" s="9">
        <v>169</v>
      </c>
      <c r="N253" s="9"/>
      <c r="O253" s="8" t="s">
        <v>324</v>
      </c>
      <c r="P253" s="9">
        <v>14</v>
      </c>
      <c r="Q253" s="9">
        <v>7.8</v>
      </c>
      <c r="R253" s="9">
        <v>2.5</v>
      </c>
      <c r="S253" s="8" t="s">
        <v>38</v>
      </c>
    </row>
    <row r="254" spans="1:19" ht="15" customHeight="1" x14ac:dyDescent="0.25">
      <c r="A254" s="6">
        <v>259</v>
      </c>
      <c r="B254" s="6" t="s">
        <v>597</v>
      </c>
      <c r="C254" s="6"/>
      <c r="D254" s="7" t="s">
        <v>571</v>
      </c>
      <c r="E254" s="8" t="s">
        <v>412</v>
      </c>
      <c r="F254" s="9">
        <v>2010</v>
      </c>
      <c r="G254" s="8" t="s">
        <v>329</v>
      </c>
      <c r="H254" s="8" t="s">
        <v>98</v>
      </c>
      <c r="I254" s="9"/>
      <c r="J254" s="8" t="s">
        <v>37</v>
      </c>
      <c r="K254" s="24" t="s">
        <v>323</v>
      </c>
      <c r="L254" s="9"/>
      <c r="M254" s="9">
        <v>170</v>
      </c>
      <c r="N254" s="9"/>
      <c r="O254" s="8" t="s">
        <v>324</v>
      </c>
      <c r="P254" s="9">
        <v>16</v>
      </c>
      <c r="Q254" s="9">
        <v>7.8</v>
      </c>
      <c r="R254" s="9">
        <v>2.5299999999999998</v>
      </c>
      <c r="S254" s="8" t="s">
        <v>38</v>
      </c>
    </row>
    <row r="255" spans="1:19" ht="15" customHeight="1" x14ac:dyDescent="0.25">
      <c r="A255" s="6">
        <v>80</v>
      </c>
      <c r="B255" s="6" t="s">
        <v>599</v>
      </c>
      <c r="C255" s="6" t="s">
        <v>625</v>
      </c>
      <c r="D255" s="7" t="s">
        <v>225</v>
      </c>
      <c r="E255" s="8" t="s">
        <v>226</v>
      </c>
      <c r="F255" s="9">
        <v>1983</v>
      </c>
      <c r="G255" s="8" t="s">
        <v>162</v>
      </c>
      <c r="H255" s="8" t="s">
        <v>72</v>
      </c>
      <c r="I255" s="9"/>
      <c r="J255" s="8" t="s">
        <v>73</v>
      </c>
      <c r="K255" s="24" t="s">
        <v>227</v>
      </c>
      <c r="L255" s="9">
        <v>282.68</v>
      </c>
      <c r="M255" s="9">
        <v>623</v>
      </c>
      <c r="N255" s="9"/>
      <c r="O255" s="8"/>
      <c r="P255" s="12">
        <v>43</v>
      </c>
      <c r="Q255" s="9">
        <v>33.1</v>
      </c>
      <c r="R255" s="9">
        <v>7.75</v>
      </c>
      <c r="S255" s="8" t="s">
        <v>76</v>
      </c>
    </row>
    <row r="256" spans="1:19" ht="15" customHeight="1" x14ac:dyDescent="0.25">
      <c r="A256" s="13">
        <v>74</v>
      </c>
      <c r="B256" s="13" t="s">
        <v>599</v>
      </c>
      <c r="C256" s="13" t="s">
        <v>620</v>
      </c>
      <c r="D256" s="14" t="s">
        <v>216</v>
      </c>
      <c r="E256" s="15" t="s">
        <v>209</v>
      </c>
      <c r="F256" s="16">
        <v>2025</v>
      </c>
      <c r="G256" s="15" t="s">
        <v>35</v>
      </c>
      <c r="H256" s="15" t="s">
        <v>98</v>
      </c>
      <c r="I256" s="16">
        <v>9982770</v>
      </c>
      <c r="J256" s="15" t="s">
        <v>44</v>
      </c>
      <c r="K256" s="34" t="s">
        <v>211</v>
      </c>
      <c r="L256" s="16">
        <v>299</v>
      </c>
      <c r="M256" s="16">
        <v>1492</v>
      </c>
      <c r="N256" s="16">
        <v>27</v>
      </c>
      <c r="O256" s="15" t="s">
        <v>141</v>
      </c>
      <c r="P256" s="16">
        <v>1</v>
      </c>
      <c r="Q256" s="16">
        <v>29</v>
      </c>
      <c r="R256" s="16">
        <v>10</v>
      </c>
      <c r="S256" s="15" t="s">
        <v>28</v>
      </c>
    </row>
    <row r="257" spans="1:19" ht="15" customHeight="1" x14ac:dyDescent="0.25">
      <c r="A257" s="13">
        <v>260</v>
      </c>
      <c r="B257" s="13" t="s">
        <v>596</v>
      </c>
      <c r="C257" s="13"/>
      <c r="D257" s="14" t="s">
        <v>572</v>
      </c>
      <c r="E257" s="15" t="s">
        <v>572</v>
      </c>
      <c r="F257" s="16">
        <v>1999</v>
      </c>
      <c r="G257" s="15" t="s">
        <v>439</v>
      </c>
      <c r="H257" s="15" t="s">
        <v>322</v>
      </c>
      <c r="I257" s="16"/>
      <c r="J257" s="15" t="s">
        <v>44</v>
      </c>
      <c r="K257" s="25" t="s">
        <v>323</v>
      </c>
      <c r="L257" s="16"/>
      <c r="M257" s="16">
        <v>18.399999999999999</v>
      </c>
      <c r="N257" s="16"/>
      <c r="O257" s="15" t="s">
        <v>324</v>
      </c>
      <c r="P257" s="11">
        <v>27</v>
      </c>
      <c r="Q257" s="16">
        <v>4.2</v>
      </c>
      <c r="R257" s="16">
        <v>1.7</v>
      </c>
      <c r="S257" s="15" t="s">
        <v>28</v>
      </c>
    </row>
    <row r="258" spans="1:19" ht="15" customHeight="1" x14ac:dyDescent="0.25">
      <c r="A258" s="13">
        <v>261</v>
      </c>
      <c r="B258" s="13" t="s">
        <v>596</v>
      </c>
      <c r="C258" s="13"/>
      <c r="D258" s="14" t="s">
        <v>573</v>
      </c>
      <c r="E258" s="15" t="s">
        <v>573</v>
      </c>
      <c r="F258" s="16">
        <v>2007</v>
      </c>
      <c r="G258" s="15" t="s">
        <v>439</v>
      </c>
      <c r="H258" s="15" t="s">
        <v>98</v>
      </c>
      <c r="I258" s="16"/>
      <c r="J258" s="15" t="s">
        <v>44</v>
      </c>
      <c r="K258" s="25" t="s">
        <v>323</v>
      </c>
      <c r="L258" s="16"/>
      <c r="M258" s="16">
        <v>29.4</v>
      </c>
      <c r="N258" s="16"/>
      <c r="O258" s="15" t="s">
        <v>324</v>
      </c>
      <c r="P258" s="16">
        <v>19</v>
      </c>
      <c r="Q258" s="16">
        <v>5</v>
      </c>
      <c r="R258" s="16">
        <v>2.0499999999999998</v>
      </c>
      <c r="S258" s="15" t="s">
        <v>28</v>
      </c>
    </row>
    <row r="259" spans="1:19" ht="15" customHeight="1" x14ac:dyDescent="0.25">
      <c r="A259" s="13">
        <v>262</v>
      </c>
      <c r="B259" s="13" t="s">
        <v>596</v>
      </c>
      <c r="C259" s="13"/>
      <c r="D259" s="14" t="s">
        <v>574</v>
      </c>
      <c r="E259" s="15" t="s">
        <v>575</v>
      </c>
      <c r="F259" s="16">
        <v>2013</v>
      </c>
      <c r="G259" s="15" t="s">
        <v>439</v>
      </c>
      <c r="H259" s="15" t="s">
        <v>98</v>
      </c>
      <c r="I259" s="16"/>
      <c r="J259" s="15" t="s">
        <v>32</v>
      </c>
      <c r="K259" s="17" t="s">
        <v>323</v>
      </c>
      <c r="L259" s="16"/>
      <c r="M259" s="16">
        <v>29.4</v>
      </c>
      <c r="N259" s="16"/>
      <c r="O259" s="15" t="s">
        <v>324</v>
      </c>
      <c r="P259" s="16">
        <v>13</v>
      </c>
      <c r="Q259" s="16">
        <v>4.7</v>
      </c>
      <c r="R259" s="16">
        <v>3.8</v>
      </c>
      <c r="S259" s="15" t="s">
        <v>34</v>
      </c>
    </row>
    <row r="260" spans="1:19" ht="15" customHeight="1" x14ac:dyDescent="0.25">
      <c r="A260" s="13">
        <v>263</v>
      </c>
      <c r="B260" s="13" t="s">
        <v>596</v>
      </c>
      <c r="C260" s="13"/>
      <c r="D260" s="14" t="s">
        <v>576</v>
      </c>
      <c r="E260" s="15" t="s">
        <v>575</v>
      </c>
      <c r="F260" s="16">
        <v>2013</v>
      </c>
      <c r="G260" s="15" t="s">
        <v>439</v>
      </c>
      <c r="H260" s="15" t="s">
        <v>322</v>
      </c>
      <c r="I260" s="16"/>
      <c r="J260" s="15" t="s">
        <v>73</v>
      </c>
      <c r="K260" s="25" t="s">
        <v>323</v>
      </c>
      <c r="L260" s="16"/>
      <c r="M260" s="16">
        <v>29.4</v>
      </c>
      <c r="N260" s="16"/>
      <c r="O260" s="15" t="s">
        <v>324</v>
      </c>
      <c r="P260" s="16">
        <v>13</v>
      </c>
      <c r="Q260" s="16">
        <v>4.7</v>
      </c>
      <c r="R260" s="16">
        <v>3.8</v>
      </c>
      <c r="S260" s="15" t="s">
        <v>76</v>
      </c>
    </row>
    <row r="261" spans="1:19" ht="15" customHeight="1" x14ac:dyDescent="0.25">
      <c r="A261" s="2">
        <v>6</v>
      </c>
      <c r="B261" s="2" t="s">
        <v>601</v>
      </c>
      <c r="C261" s="2" t="s">
        <v>621</v>
      </c>
      <c r="D261" s="3" t="s">
        <v>41</v>
      </c>
      <c r="E261" s="4" t="s">
        <v>42</v>
      </c>
      <c r="F261" s="5">
        <v>2003</v>
      </c>
      <c r="G261" s="4" t="s">
        <v>43</v>
      </c>
      <c r="H261" s="4" t="s">
        <v>26</v>
      </c>
      <c r="I261" s="5">
        <v>9272412</v>
      </c>
      <c r="J261" s="4" t="s">
        <v>44</v>
      </c>
      <c r="K261" s="29" t="s">
        <v>45</v>
      </c>
      <c r="L261" s="5">
        <v>3905</v>
      </c>
      <c r="M261" s="5">
        <v>15000</v>
      </c>
      <c r="N261" s="5">
        <v>201</v>
      </c>
      <c r="O261" s="4" t="s">
        <v>23</v>
      </c>
      <c r="P261" s="5">
        <v>23</v>
      </c>
      <c r="Q261" s="5">
        <v>87.7</v>
      </c>
      <c r="R261" s="5">
        <v>18</v>
      </c>
      <c r="S261" s="4" t="s">
        <v>38</v>
      </c>
    </row>
    <row r="262" spans="1:19" ht="15" customHeight="1" x14ac:dyDescent="0.25">
      <c r="A262" s="6">
        <v>264</v>
      </c>
      <c r="B262" s="6" t="s">
        <v>596</v>
      </c>
      <c r="C262" s="6"/>
      <c r="D262" s="7" t="s">
        <v>577</v>
      </c>
      <c r="E262" s="8" t="s">
        <v>577</v>
      </c>
      <c r="F262" s="9">
        <v>2009</v>
      </c>
      <c r="G262" s="8" t="s">
        <v>439</v>
      </c>
      <c r="H262" s="8" t="s">
        <v>322</v>
      </c>
      <c r="I262" s="9"/>
      <c r="J262" s="8" t="s">
        <v>32</v>
      </c>
      <c r="K262" s="10" t="s">
        <v>323</v>
      </c>
      <c r="L262" s="9"/>
      <c r="M262" s="9"/>
      <c r="N262" s="9"/>
      <c r="O262" s="8" t="s">
        <v>324</v>
      </c>
      <c r="P262" s="9">
        <v>17</v>
      </c>
      <c r="Q262" s="9">
        <v>4.25</v>
      </c>
      <c r="R262" s="9">
        <v>2.2000000000000002</v>
      </c>
      <c r="S262" s="8" t="s">
        <v>34</v>
      </c>
    </row>
    <row r="263" spans="1:19" ht="15" customHeight="1" x14ac:dyDescent="0.25">
      <c r="A263" s="6">
        <v>265</v>
      </c>
      <c r="B263" s="6" t="s">
        <v>596</v>
      </c>
      <c r="C263" s="6"/>
      <c r="D263" s="7" t="s">
        <v>577</v>
      </c>
      <c r="E263" s="8" t="s">
        <v>577</v>
      </c>
      <c r="F263" s="9">
        <v>2009</v>
      </c>
      <c r="G263" s="8" t="s">
        <v>439</v>
      </c>
      <c r="H263" s="8" t="s">
        <v>322</v>
      </c>
      <c r="I263" s="9"/>
      <c r="J263" s="8" t="s">
        <v>32</v>
      </c>
      <c r="K263" s="10" t="s">
        <v>323</v>
      </c>
      <c r="L263" s="9"/>
      <c r="M263" s="9"/>
      <c r="N263" s="9"/>
      <c r="O263" s="8" t="s">
        <v>324</v>
      </c>
      <c r="P263" s="9">
        <v>17</v>
      </c>
      <c r="Q263" s="9">
        <v>4.25</v>
      </c>
      <c r="R263" s="9">
        <v>2.2000000000000002</v>
      </c>
      <c r="S263" s="8" t="s">
        <v>34</v>
      </c>
    </row>
    <row r="264" spans="1:19" ht="15" customHeight="1" x14ac:dyDescent="0.25">
      <c r="A264" s="6">
        <v>266</v>
      </c>
      <c r="B264" s="6" t="s">
        <v>598</v>
      </c>
      <c r="C264" s="6"/>
      <c r="D264" s="7" t="s">
        <v>578</v>
      </c>
      <c r="E264" s="8" t="s">
        <v>414</v>
      </c>
      <c r="F264" s="9">
        <v>2013</v>
      </c>
      <c r="G264" s="8" t="s">
        <v>421</v>
      </c>
      <c r="H264" s="8" t="s">
        <v>98</v>
      </c>
      <c r="I264" s="9"/>
      <c r="J264" s="8" t="s">
        <v>44</v>
      </c>
      <c r="K264" s="24" t="s">
        <v>323</v>
      </c>
      <c r="L264" s="9"/>
      <c r="M264" s="9">
        <v>191.36</v>
      </c>
      <c r="N264" s="9"/>
      <c r="O264" s="8" t="s">
        <v>324</v>
      </c>
      <c r="P264" s="9">
        <v>13</v>
      </c>
      <c r="Q264" s="9">
        <v>8.58</v>
      </c>
      <c r="R264" s="9">
        <v>2.65</v>
      </c>
      <c r="S264" s="8" t="s">
        <v>28</v>
      </c>
    </row>
    <row r="265" spans="1:19" ht="15" customHeight="1" x14ac:dyDescent="0.25">
      <c r="A265" s="6">
        <v>267</v>
      </c>
      <c r="B265" s="6" t="s">
        <v>598</v>
      </c>
      <c r="C265" s="6" t="s">
        <v>619</v>
      </c>
      <c r="D265" s="7" t="s">
        <v>579</v>
      </c>
      <c r="E265" s="8" t="s">
        <v>580</v>
      </c>
      <c r="F265" s="9">
        <v>2007</v>
      </c>
      <c r="G265" s="8" t="s">
        <v>421</v>
      </c>
      <c r="H265" s="8" t="s">
        <v>98</v>
      </c>
      <c r="I265" s="9"/>
      <c r="J265" s="8" t="s">
        <v>64</v>
      </c>
      <c r="K265" s="24" t="s">
        <v>323</v>
      </c>
      <c r="L265" s="9"/>
      <c r="M265" s="9">
        <v>85</v>
      </c>
      <c r="N265" s="9"/>
      <c r="O265" s="8" t="s">
        <v>324</v>
      </c>
      <c r="P265" s="9">
        <v>19</v>
      </c>
      <c r="Q265" s="9">
        <v>7.58</v>
      </c>
      <c r="R265" s="9">
        <v>2.65</v>
      </c>
      <c r="S265" s="8" t="s">
        <v>65</v>
      </c>
    </row>
    <row r="266" spans="1:19" ht="15" customHeight="1" x14ac:dyDescent="0.25">
      <c r="A266" s="6">
        <v>268</v>
      </c>
      <c r="B266" s="6" t="s">
        <v>598</v>
      </c>
      <c r="C266" s="6" t="s">
        <v>619</v>
      </c>
      <c r="D266" s="7" t="s">
        <v>581</v>
      </c>
      <c r="E266" s="8" t="s">
        <v>580</v>
      </c>
      <c r="F266" s="9">
        <v>2009</v>
      </c>
      <c r="G266" s="8" t="s">
        <v>421</v>
      </c>
      <c r="H266" s="8" t="s">
        <v>98</v>
      </c>
      <c r="I266" s="9"/>
      <c r="J266" s="8" t="s">
        <v>64</v>
      </c>
      <c r="K266" s="24" t="s">
        <v>323</v>
      </c>
      <c r="L266" s="9"/>
      <c r="M266" s="9">
        <v>110.3</v>
      </c>
      <c r="N266" s="9"/>
      <c r="O266" s="8" t="s">
        <v>324</v>
      </c>
      <c r="P266" s="9">
        <v>17</v>
      </c>
      <c r="Q266" s="9">
        <v>7.5</v>
      </c>
      <c r="R266" s="9">
        <v>2.65</v>
      </c>
      <c r="S266" s="8" t="s">
        <v>65</v>
      </c>
    </row>
    <row r="267" spans="1:19" ht="15" customHeight="1" x14ac:dyDescent="0.25">
      <c r="A267" s="6">
        <v>269</v>
      </c>
      <c r="B267" s="6" t="s">
        <v>600</v>
      </c>
      <c r="C267" s="6" t="s">
        <v>625</v>
      </c>
      <c r="D267" s="7" t="s">
        <v>582</v>
      </c>
      <c r="E267" s="8" t="s">
        <v>583</v>
      </c>
      <c r="F267" s="9">
        <v>2006</v>
      </c>
      <c r="G267" s="8" t="s">
        <v>584</v>
      </c>
      <c r="H267" s="8" t="s">
        <v>98</v>
      </c>
      <c r="I267" s="9"/>
      <c r="J267" s="8" t="s">
        <v>73</v>
      </c>
      <c r="K267" s="24" t="s">
        <v>323</v>
      </c>
      <c r="L267" s="9"/>
      <c r="M267" s="9">
        <v>53.69</v>
      </c>
      <c r="N267" s="9"/>
      <c r="O267" s="8" t="s">
        <v>324</v>
      </c>
      <c r="P267" s="9">
        <v>20</v>
      </c>
      <c r="Q267" s="9">
        <v>7.56</v>
      </c>
      <c r="R267" s="9">
        <v>3.3</v>
      </c>
      <c r="S267" s="8" t="s">
        <v>76</v>
      </c>
    </row>
    <row r="268" spans="1:19" ht="15" customHeight="1" x14ac:dyDescent="0.25">
      <c r="A268" s="13">
        <v>69</v>
      </c>
      <c r="B268" s="13" t="s">
        <v>613</v>
      </c>
      <c r="C268" s="13" t="s">
        <v>620</v>
      </c>
      <c r="D268" s="14" t="s">
        <v>205</v>
      </c>
      <c r="E268" s="15">
        <v>14613</v>
      </c>
      <c r="F268" s="16">
        <v>2002</v>
      </c>
      <c r="G268" s="15" t="s">
        <v>206</v>
      </c>
      <c r="H268" s="15" t="s">
        <v>98</v>
      </c>
      <c r="I268" s="16">
        <v>8974075</v>
      </c>
      <c r="J268" s="15" t="s">
        <v>37</v>
      </c>
      <c r="K268" s="31" t="s">
        <v>207</v>
      </c>
      <c r="L268" s="16">
        <v>313</v>
      </c>
      <c r="M268" s="16">
        <v>868</v>
      </c>
      <c r="N268" s="16"/>
      <c r="O268" s="15" t="s">
        <v>141</v>
      </c>
      <c r="P268" s="16">
        <v>24</v>
      </c>
      <c r="Q268" s="16">
        <v>39.799999999999997</v>
      </c>
      <c r="R268" s="16">
        <v>7.8</v>
      </c>
      <c r="S268" s="15" t="s">
        <v>38</v>
      </c>
    </row>
    <row r="269" spans="1:19" ht="15" customHeight="1" x14ac:dyDescent="0.25">
      <c r="A269" s="6">
        <v>38</v>
      </c>
      <c r="B269" s="6" t="s">
        <v>611</v>
      </c>
      <c r="C269" s="6"/>
      <c r="D269" s="7" t="s">
        <v>134</v>
      </c>
      <c r="E269" s="8">
        <v>1511</v>
      </c>
      <c r="F269" s="9">
        <v>1974</v>
      </c>
      <c r="G269" s="8" t="s">
        <v>135</v>
      </c>
      <c r="H269" s="8" t="s">
        <v>98</v>
      </c>
      <c r="I269" s="9"/>
      <c r="J269" s="8" t="s">
        <v>136</v>
      </c>
      <c r="K269" s="24" t="s">
        <v>137</v>
      </c>
      <c r="L269" s="9">
        <v>764</v>
      </c>
      <c r="M269" s="9">
        <v>662</v>
      </c>
      <c r="N269" s="9"/>
      <c r="O269" s="8" t="s">
        <v>127</v>
      </c>
      <c r="P269" s="12">
        <v>52</v>
      </c>
      <c r="Q269" s="9">
        <v>40.659999999999997</v>
      </c>
      <c r="R269" s="9">
        <v>20</v>
      </c>
      <c r="S269" s="8" t="s">
        <v>38</v>
      </c>
    </row>
    <row r="270" spans="1:19" ht="15" customHeight="1" x14ac:dyDescent="0.25">
      <c r="A270" s="6">
        <v>129</v>
      </c>
      <c r="B270" s="6" t="s">
        <v>602</v>
      </c>
      <c r="C270" s="6"/>
      <c r="D270" s="7" t="s">
        <v>340</v>
      </c>
      <c r="E270" s="8" t="s">
        <v>341</v>
      </c>
      <c r="F270" s="9">
        <v>1989</v>
      </c>
      <c r="G270" s="8" t="s">
        <v>342</v>
      </c>
      <c r="H270" s="8" t="s">
        <v>72</v>
      </c>
      <c r="I270" s="9"/>
      <c r="J270" s="8" t="s">
        <v>125</v>
      </c>
      <c r="K270" s="24" t="s">
        <v>155</v>
      </c>
      <c r="L270" s="9">
        <v>53</v>
      </c>
      <c r="M270" s="9"/>
      <c r="N270" s="9"/>
      <c r="O270" s="8" t="s">
        <v>75</v>
      </c>
      <c r="P270" s="12">
        <v>37</v>
      </c>
      <c r="Q270" s="9">
        <v>36.85</v>
      </c>
      <c r="R270" s="9">
        <v>8.6999999999999993</v>
      </c>
      <c r="S270" s="8" t="s">
        <v>76</v>
      </c>
    </row>
    <row r="271" spans="1:19" ht="15" customHeight="1" x14ac:dyDescent="0.25">
      <c r="A271" s="6">
        <v>271</v>
      </c>
      <c r="B271" s="6" t="s">
        <v>598</v>
      </c>
      <c r="C271" s="6" t="s">
        <v>620</v>
      </c>
      <c r="D271" s="7" t="s">
        <v>586</v>
      </c>
      <c r="E271" s="8" t="s">
        <v>586</v>
      </c>
      <c r="F271" s="9">
        <v>2019</v>
      </c>
      <c r="G271" s="8" t="s">
        <v>587</v>
      </c>
      <c r="H271" s="8" t="s">
        <v>322</v>
      </c>
      <c r="I271" s="9"/>
      <c r="J271" s="8"/>
      <c r="K271" s="24" t="s">
        <v>323</v>
      </c>
      <c r="L271" s="9"/>
      <c r="M271" s="9">
        <v>112</v>
      </c>
      <c r="N271" s="9"/>
      <c r="O271" s="8" t="s">
        <v>324</v>
      </c>
      <c r="P271" s="9">
        <v>12</v>
      </c>
      <c r="Q271" s="9">
        <v>7.55</v>
      </c>
      <c r="R271" s="9">
        <v>2.2000000000000002</v>
      </c>
      <c r="S271" s="8" t="s">
        <v>38</v>
      </c>
    </row>
    <row r="272" spans="1:19" ht="15" customHeight="1" x14ac:dyDescent="0.25">
      <c r="A272" s="6">
        <v>272</v>
      </c>
      <c r="B272" s="6" t="s">
        <v>597</v>
      </c>
      <c r="C272" s="6" t="s">
        <v>621</v>
      </c>
      <c r="D272" s="7" t="s">
        <v>588</v>
      </c>
      <c r="E272" s="8" t="s">
        <v>589</v>
      </c>
      <c r="F272" s="9">
        <v>2003</v>
      </c>
      <c r="G272" s="8" t="s">
        <v>590</v>
      </c>
      <c r="H272" s="8" t="s">
        <v>322</v>
      </c>
      <c r="I272" s="9"/>
      <c r="J272" s="8" t="s">
        <v>27</v>
      </c>
      <c r="K272" s="24" t="s">
        <v>323</v>
      </c>
      <c r="L272" s="9"/>
      <c r="M272" s="9">
        <v>44.1</v>
      </c>
      <c r="N272" s="9"/>
      <c r="O272" s="8" t="s">
        <v>324</v>
      </c>
      <c r="P272" s="9">
        <v>23</v>
      </c>
      <c r="Q272" s="9">
        <v>7.55</v>
      </c>
      <c r="R272" s="9">
        <v>2.2000000000000002</v>
      </c>
      <c r="S272" s="8" t="s">
        <v>28</v>
      </c>
    </row>
    <row r="273" spans="1:19" ht="15" customHeight="1" x14ac:dyDescent="0.25">
      <c r="A273" s="6">
        <v>273</v>
      </c>
      <c r="B273" s="6" t="s">
        <v>608</v>
      </c>
      <c r="C273" s="6" t="s">
        <v>619</v>
      </c>
      <c r="D273" s="7" t="s">
        <v>591</v>
      </c>
      <c r="E273" s="8" t="s">
        <v>592</v>
      </c>
      <c r="F273" s="9">
        <v>2016</v>
      </c>
      <c r="G273" s="8" t="s">
        <v>240</v>
      </c>
      <c r="H273" s="8" t="s">
        <v>98</v>
      </c>
      <c r="I273" s="9"/>
      <c r="J273" s="8" t="s">
        <v>64</v>
      </c>
      <c r="K273" s="32" t="s">
        <v>323</v>
      </c>
      <c r="L273" s="9"/>
      <c r="M273" s="9">
        <v>73.5</v>
      </c>
      <c r="N273" s="9"/>
      <c r="O273" s="8" t="s">
        <v>324</v>
      </c>
      <c r="P273" s="9">
        <v>10</v>
      </c>
      <c r="Q273" s="9">
        <v>6.7</v>
      </c>
      <c r="R273" s="9">
        <v>3.9</v>
      </c>
      <c r="S273" s="8" t="s">
        <v>65</v>
      </c>
    </row>
    <row r="274" spans="1:19" ht="15" customHeight="1" x14ac:dyDescent="0.25">
      <c r="A274" s="2">
        <v>33</v>
      </c>
      <c r="B274" s="2" t="s">
        <v>609</v>
      </c>
      <c r="C274" s="2" t="s">
        <v>625</v>
      </c>
      <c r="D274" s="3" t="s">
        <v>119</v>
      </c>
      <c r="E274" s="4">
        <v>1454</v>
      </c>
      <c r="F274" s="5">
        <v>1983</v>
      </c>
      <c r="G274" s="4" t="s">
        <v>120</v>
      </c>
      <c r="H274" s="4" t="s">
        <v>26</v>
      </c>
      <c r="I274" s="5">
        <v>8135007</v>
      </c>
      <c r="J274" s="4" t="s">
        <v>73</v>
      </c>
      <c r="K274" s="29" t="s">
        <v>121</v>
      </c>
      <c r="L274" s="5">
        <v>1160</v>
      </c>
      <c r="M274" s="5">
        <v>2148</v>
      </c>
      <c r="N274" s="5">
        <v>16</v>
      </c>
      <c r="O274" s="4" t="s">
        <v>23</v>
      </c>
      <c r="P274" s="12">
        <v>43</v>
      </c>
      <c r="Q274" s="5">
        <v>58.55</v>
      </c>
      <c r="R274" s="5">
        <v>12.23</v>
      </c>
      <c r="S274" s="4" t="s">
        <v>76</v>
      </c>
    </row>
    <row r="275" spans="1:19" ht="15" customHeight="1" x14ac:dyDescent="0.25">
      <c r="A275" s="2">
        <v>17</v>
      </c>
      <c r="B275" s="2" t="s">
        <v>609</v>
      </c>
      <c r="C275" s="2" t="s">
        <v>621</v>
      </c>
      <c r="D275" s="3" t="s">
        <v>77</v>
      </c>
      <c r="E275" s="4" t="s">
        <v>78</v>
      </c>
      <c r="F275" s="5">
        <v>1985</v>
      </c>
      <c r="G275" s="4" t="s">
        <v>79</v>
      </c>
      <c r="H275" s="4" t="s">
        <v>26</v>
      </c>
      <c r="I275" s="5">
        <v>8422242</v>
      </c>
      <c r="J275" s="4" t="s">
        <v>27</v>
      </c>
      <c r="K275" s="29" t="s">
        <v>80</v>
      </c>
      <c r="L275" s="5">
        <v>2737</v>
      </c>
      <c r="M275" s="5">
        <v>5300</v>
      </c>
      <c r="N275" s="5">
        <v>82.6</v>
      </c>
      <c r="O275" s="4" t="s">
        <v>23</v>
      </c>
      <c r="P275" s="12">
        <v>41</v>
      </c>
      <c r="Q275" s="5">
        <v>81.16</v>
      </c>
      <c r="R275" s="5">
        <v>15.96</v>
      </c>
      <c r="S275" s="4" t="s">
        <v>28</v>
      </c>
    </row>
  </sheetData>
  <autoFilter ref="A1:S275">
    <sortState ref="A2:X275">
      <sortCondition ref="D2:D275"/>
    </sortState>
  </autoFilter>
  <sortState ref="A4:W277">
    <sortCondition ref="D4:D277"/>
  </sortState>
  <hyperlinks>
    <hyperlink ref="K152" r:id="rId1"/>
    <hyperlink ref="K273" r:id="rId2"/>
    <hyperlink ref="K272" r:id="rId3"/>
    <hyperlink ref="K271" r:id="rId4"/>
    <hyperlink ref="K143" r:id="rId5"/>
    <hyperlink ref="K267" r:id="rId6"/>
    <hyperlink ref="K266" r:id="rId7"/>
    <hyperlink ref="K265" r:id="rId8"/>
    <hyperlink ref="K264" r:id="rId9"/>
    <hyperlink ref="K260" r:id="rId10"/>
    <hyperlink ref="K258" r:id="rId11"/>
    <hyperlink ref="K257" r:id="rId12"/>
    <hyperlink ref="K254" r:id="rId13"/>
    <hyperlink ref="K253" r:id="rId14"/>
    <hyperlink ref="K252" r:id="rId15"/>
    <hyperlink ref="K251" r:id="rId16"/>
    <hyperlink ref="K133" r:id="rId17"/>
    <hyperlink ref="K244" r:id="rId18"/>
    <hyperlink ref="K242" r:id="rId19"/>
    <hyperlink ref="K241" r:id="rId20"/>
    <hyperlink ref="K240" r:id="rId21"/>
    <hyperlink ref="K238" r:id="rId22"/>
    <hyperlink ref="K236" r:id="rId23"/>
    <hyperlink ref="K227" r:id="rId24"/>
    <hyperlink ref="K225" r:id="rId25"/>
    <hyperlink ref="K224" r:id="rId26"/>
    <hyperlink ref="K223" r:id="rId27"/>
    <hyperlink ref="K218" r:id="rId28"/>
    <hyperlink ref="K213" r:id="rId29"/>
    <hyperlink ref="K210" r:id="rId30"/>
    <hyperlink ref="K209" r:id="rId31"/>
    <hyperlink ref="K208" r:id="rId32"/>
    <hyperlink ref="K207" r:id="rId33"/>
    <hyperlink ref="K206" r:id="rId34"/>
    <hyperlink ref="K203" r:id="rId35"/>
    <hyperlink ref="K202" r:id="rId36"/>
    <hyperlink ref="K200" r:id="rId37"/>
    <hyperlink ref="K199" r:id="rId38"/>
    <hyperlink ref="K196" r:id="rId39"/>
    <hyperlink ref="K194" r:id="rId40"/>
    <hyperlink ref="K181" r:id="rId41"/>
    <hyperlink ref="K178" r:id="rId42"/>
    <hyperlink ref="K171" r:id="rId43"/>
    <hyperlink ref="K168" r:id="rId44"/>
    <hyperlink ref="K166" r:id="rId45"/>
    <hyperlink ref="K164" r:id="rId46"/>
    <hyperlink ref="K159" r:id="rId47"/>
    <hyperlink ref="K158" r:id="rId48"/>
    <hyperlink ref="K156" r:id="rId49"/>
    <hyperlink ref="K155" r:id="rId50"/>
    <hyperlink ref="K151" r:id="rId51"/>
    <hyperlink ref="K150" r:id="rId52"/>
    <hyperlink ref="K149" r:id="rId53"/>
    <hyperlink ref="K148" r:id="rId54"/>
    <hyperlink ref="K145" r:id="rId55"/>
    <hyperlink ref="K140" r:id="rId56"/>
    <hyperlink ref="K134" r:id="rId57"/>
    <hyperlink ref="K132" r:id="rId58"/>
    <hyperlink ref="K131" r:id="rId59"/>
    <hyperlink ref="K130" r:id="rId60"/>
    <hyperlink ref="K126" r:id="rId61"/>
    <hyperlink ref="K122" r:id="rId62"/>
    <hyperlink ref="K121" r:id="rId63"/>
    <hyperlink ref="K120" r:id="rId64"/>
    <hyperlink ref="K119" r:id="rId65"/>
    <hyperlink ref="K118" r:id="rId66"/>
    <hyperlink ref="K117" r:id="rId67"/>
    <hyperlink ref="K116" r:id="rId68"/>
    <hyperlink ref="K97" r:id="rId69"/>
    <hyperlink ref="K67" r:id="rId70"/>
    <hyperlink ref="K66" r:id="rId71"/>
    <hyperlink ref="K64" r:id="rId72"/>
    <hyperlink ref="K55" r:id="rId73"/>
    <hyperlink ref="K51" r:id="rId74"/>
    <hyperlink ref="K45" r:id="rId75"/>
    <hyperlink ref="K37" r:id="rId76"/>
    <hyperlink ref="K32" r:id="rId77"/>
    <hyperlink ref="K28" r:id="rId78"/>
    <hyperlink ref="K30" r:id="rId79"/>
    <hyperlink ref="K27" r:id="rId80"/>
    <hyperlink ref="K24" r:id="rId81"/>
    <hyperlink ref="K23" r:id="rId82"/>
    <hyperlink ref="K21" r:id="rId83"/>
    <hyperlink ref="K20" r:id="rId84"/>
    <hyperlink ref="K19" r:id="rId85"/>
    <hyperlink ref="K17" r:id="rId86"/>
    <hyperlink ref="K16" r:id="rId87"/>
    <hyperlink ref="K14" r:id="rId88"/>
    <hyperlink ref="K12" r:id="rId89"/>
    <hyperlink ref="K10" r:id="rId90"/>
    <hyperlink ref="K9" r:id="rId91"/>
    <hyperlink ref="K8" r:id="rId92"/>
    <hyperlink ref="K7" r:id="rId93"/>
    <hyperlink ref="K4" r:id="rId94"/>
    <hyperlink ref="K3" r:id="rId95"/>
    <hyperlink ref="K195" r:id="rId96"/>
    <hyperlink ref="K204" r:id="rId97"/>
    <hyperlink ref="K201" r:id="rId98"/>
    <hyperlink ref="K198" r:id="rId99"/>
    <hyperlink ref="K6" r:id="rId100"/>
    <hyperlink ref="K5" r:id="rId101"/>
    <hyperlink ref="K147" r:id="rId102"/>
    <hyperlink ref="K219" r:id="rId103"/>
    <hyperlink ref="K89" r:id="rId104"/>
    <hyperlink ref="K88" r:id="rId105"/>
    <hyperlink ref="K42" r:id="rId106"/>
    <hyperlink ref="K215" r:id="rId107"/>
    <hyperlink ref="K11" r:id="rId108"/>
    <hyperlink ref="K41" r:id="rId109"/>
    <hyperlink ref="K35" r:id="rId110"/>
    <hyperlink ref="K92" r:id="rId111"/>
    <hyperlink ref="K71" r:id="rId112"/>
    <hyperlink ref="K70" r:id="rId113"/>
    <hyperlink ref="K69" r:id="rId114"/>
    <hyperlink ref="K91" r:id="rId115"/>
    <hyperlink ref="K36" r:id="rId116"/>
    <hyperlink ref="K33" r:id="rId117"/>
    <hyperlink ref="K162" r:id="rId118"/>
    <hyperlink ref="K144" r:id="rId119"/>
    <hyperlink ref="K137" r:id="rId120"/>
    <hyperlink ref="K138" r:id="rId121"/>
    <hyperlink ref="K94" r:id="rId122"/>
    <hyperlink ref="K93" r:id="rId123"/>
    <hyperlink ref="K72" r:id="rId124"/>
    <hyperlink ref="K31" r:id="rId125"/>
    <hyperlink ref="K108" r:id="rId126"/>
    <hyperlink ref="K101" r:id="rId127"/>
    <hyperlink ref="K96" r:id="rId128"/>
    <hyperlink ref="K75" r:id="rId129"/>
    <hyperlink ref="K73" r:id="rId130"/>
    <hyperlink ref="K26" r:id="rId131"/>
    <hyperlink ref="K25" r:id="rId132"/>
    <hyperlink ref="K165" r:id="rId133"/>
    <hyperlink ref="K270" r:id="rId134"/>
    <hyperlink ref="K228" r:id="rId135"/>
    <hyperlink ref="K160" r:id="rId136"/>
    <hyperlink ref="K136" r:id="rId137"/>
    <hyperlink ref="K115" r:id="rId138"/>
    <hyperlink ref="K114" r:id="rId139"/>
    <hyperlink ref="K111" r:id="rId140"/>
    <hyperlink ref="K110" r:id="rId141"/>
    <hyperlink ref="K18" r:id="rId142"/>
    <hyperlink ref="K163" r:id="rId143"/>
    <hyperlink ref="K107" r:id="rId144"/>
    <hyperlink ref="K99" r:id="rId145"/>
    <hyperlink ref="K191" r:id="rId146"/>
    <hyperlink ref="K103" r:id="rId147"/>
    <hyperlink ref="K102" r:id="rId148"/>
    <hyperlink ref="K135" r:id="rId149"/>
    <hyperlink ref="K87" r:id="rId150"/>
    <hyperlink ref="K100" r:id="rId151"/>
    <hyperlink ref="K125" r:id="rId152"/>
    <hyperlink ref="K124" r:id="rId153"/>
    <hyperlink ref="K142" r:id="rId154"/>
    <hyperlink ref="K57" r:id="rId155"/>
    <hyperlink ref="K63" r:id="rId156"/>
    <hyperlink ref="K86" r:id="rId157"/>
    <hyperlink ref="K85" r:id="rId158"/>
    <hyperlink ref="K84" r:id="rId159"/>
    <hyperlink ref="K83" r:id="rId160"/>
    <hyperlink ref="K82" r:id="rId161"/>
    <hyperlink ref="K81" r:id="rId162"/>
    <hyperlink ref="K79" r:id="rId163"/>
    <hyperlink ref="K78" r:id="rId164"/>
    <hyperlink ref="K77" r:id="rId165"/>
    <hyperlink ref="K80" r:id="rId166"/>
    <hyperlink ref="K39" r:id="rId167"/>
    <hyperlink ref="K38" r:id="rId168"/>
    <hyperlink ref="K192" r:id="rId169"/>
    <hyperlink ref="K193" r:id="rId170"/>
    <hyperlink ref="K76" r:id="rId171"/>
    <hyperlink ref="K40" r:id="rId172"/>
    <hyperlink ref="K54" r:id="rId173"/>
    <hyperlink ref="K189" r:id="rId174"/>
    <hyperlink ref="K34" r:id="rId175"/>
    <hyperlink ref="K95" r:id="rId176"/>
    <hyperlink ref="K65" r:id="rId177"/>
    <hyperlink ref="K161" r:id="rId178"/>
    <hyperlink ref="K216" r:id="rId179"/>
    <hyperlink ref="K226" r:id="rId180"/>
    <hyperlink ref="K98" r:id="rId181"/>
    <hyperlink ref="K105" r:id="rId182"/>
    <hyperlink ref="K255" r:id="rId183"/>
    <hyperlink ref="K211" r:id="rId184"/>
    <hyperlink ref="K22" r:id="rId185" display="C*"/>
    <hyperlink ref="K188" r:id="rId186"/>
    <hyperlink ref="K180" r:id="rId187"/>
    <hyperlink ref="K173" r:id="rId188"/>
    <hyperlink ref="K268" r:id="rId189"/>
    <hyperlink ref="K62" r:id="rId190"/>
    <hyperlink ref="K58" r:id="rId191"/>
    <hyperlink ref="K197" r:id="rId192"/>
    <hyperlink ref="K248" r:id="rId193"/>
    <hyperlink ref="K245" r:id="rId194"/>
    <hyperlink ref="K214" r:id="rId195"/>
    <hyperlink ref="K205" r:id="rId196"/>
    <hyperlink ref="K190" r:id="rId197"/>
    <hyperlink ref="K169" r:id="rId198"/>
    <hyperlink ref="K61" r:id="rId199"/>
    <hyperlink ref="K68" r:id="rId200"/>
    <hyperlink ref="K174" r:id="rId201"/>
    <hyperlink ref="K184" r:id="rId202"/>
    <hyperlink ref="K182" r:id="rId203"/>
    <hyperlink ref="K176" r:id="rId204"/>
    <hyperlink ref="K183" r:id="rId205"/>
    <hyperlink ref="K185" r:id="rId206"/>
    <hyperlink ref="K127" r:id="rId207"/>
    <hyperlink ref="K141" r:id="rId208"/>
    <hyperlink ref="K60" r:id="rId209"/>
    <hyperlink ref="K56" r:id="rId210"/>
    <hyperlink ref="K221" r:id="rId211"/>
    <hyperlink ref="K59" r:id="rId212"/>
    <hyperlink ref="K179" r:id="rId213"/>
    <hyperlink ref="K177" r:id="rId214"/>
    <hyperlink ref="K187" r:id="rId215"/>
    <hyperlink ref="K243" r:id="rId216"/>
    <hyperlink ref="K52" r:id="rId217"/>
    <hyperlink ref="K74" r:id="rId218"/>
    <hyperlink ref="K104" r:id="rId219"/>
    <hyperlink ref="K269" r:id="rId220"/>
    <hyperlink ref="K50" r:id="rId221"/>
    <hyperlink ref="K49" r:id="rId222"/>
    <hyperlink ref="K175" r:id="rId223"/>
    <hyperlink ref="K186" r:id="rId224"/>
    <hyperlink ref="K274" r:id="rId225"/>
    <hyperlink ref="K112" r:id="rId226"/>
    <hyperlink ref="K128" r:id="rId227"/>
    <hyperlink ref="K217" r:id="rId228"/>
    <hyperlink ref="K53" r:id="rId229"/>
    <hyperlink ref="K43" r:id="rId230"/>
    <hyperlink ref="K139" r:id="rId231"/>
    <hyperlink ref="K233" r:id="rId232"/>
    <hyperlink ref="K232" r:id="rId233"/>
    <hyperlink ref="K231" r:id="rId234"/>
    <hyperlink ref="K230" r:id="rId235"/>
    <hyperlink ref="K229" r:id="rId236"/>
    <hyperlink ref="K167" r:id="rId237"/>
    <hyperlink ref="K157" r:id="rId238"/>
    <hyperlink ref="K113" r:id="rId239"/>
    <hyperlink ref="K275" r:id="rId240"/>
    <hyperlink ref="K146" r:id="rId241"/>
    <hyperlink ref="K172" r:id="rId242"/>
    <hyperlink ref="K109" r:id="rId243"/>
    <hyperlink ref="K47" r:id="rId244"/>
    <hyperlink ref="K46" r:id="rId245"/>
    <hyperlink ref="K222" r:id="rId246" display="KM* Ice1 AUT2 DYNPOS-2 Oil recovery ship, Supply vessel (OS), Tug"/>
    <hyperlink ref="K154" r:id="rId247" display="KM* Ice1 AUT1 DYNPOS-2 tug/supply vessel (OS)"/>
    <hyperlink ref="K250" r:id="rId248"/>
    <hyperlink ref="K220" r:id="rId249" display="KM* IC AUT1 FF2 DYNPOS-2 Supply vessel (OS) Tug"/>
    <hyperlink ref="K44" r:id="rId250" display="Класс\РМРС с АО\Балтика.pdf"/>
    <hyperlink ref="K261" r:id="rId251" display="KM*Ice1 AUT1 FF3WS DYNPOS-2 COMF(N-3) COMF(V-3) Oil recovery ship Supply vessel (OS) Tug"/>
    <hyperlink ref="K153" r:id="rId252"/>
    <hyperlink ref="K48" r:id="rId253"/>
    <hyperlink ref="K29" r:id="rId254"/>
    <hyperlink ref="K123" r:id="rId2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E3" sqref="E3"/>
    </sheetView>
  </sheetViews>
  <sheetFormatPr defaultRowHeight="15" x14ac:dyDescent="0.25"/>
  <cols>
    <col min="1" max="1" width="61.5703125" style="38" customWidth="1"/>
    <col min="2" max="3" width="12.42578125" style="38" customWidth="1"/>
    <col min="4" max="4" width="11.42578125" style="38" customWidth="1"/>
    <col min="5" max="6" width="9.5703125" style="38" customWidth="1"/>
    <col min="7" max="7" width="12" style="38" customWidth="1"/>
    <col min="8" max="8" width="10.42578125" style="38" customWidth="1"/>
    <col min="9" max="11" width="9.5703125" style="38" customWidth="1"/>
    <col min="12" max="12" width="11.42578125" style="38" customWidth="1"/>
    <col min="13" max="14" width="9.5703125" style="38" customWidth="1"/>
    <col min="15" max="16384" width="9.140625" style="38"/>
  </cols>
  <sheetData>
    <row r="1" spans="1:14" ht="132" customHeight="1" x14ac:dyDescent="0.25">
      <c r="A1" s="36" t="s">
        <v>618</v>
      </c>
      <c r="B1" s="37" t="s">
        <v>627</v>
      </c>
      <c r="C1" s="37"/>
      <c r="D1" s="43" t="s">
        <v>628</v>
      </c>
      <c r="E1" s="44"/>
      <c r="F1" s="45"/>
      <c r="G1" s="43" t="s">
        <v>629</v>
      </c>
      <c r="H1" s="44"/>
      <c r="I1" s="44"/>
      <c r="J1" s="44"/>
      <c r="K1" s="45"/>
      <c r="L1" s="46" t="s">
        <v>630</v>
      </c>
      <c r="M1" s="46"/>
      <c r="N1" s="46"/>
    </row>
    <row r="2" spans="1:14" ht="33" x14ac:dyDescent="0.25">
      <c r="A2" s="36"/>
      <c r="B2" s="36"/>
      <c r="C2" s="36"/>
      <c r="D2" s="36" t="s">
        <v>631</v>
      </c>
      <c r="E2" s="36" t="s">
        <v>632</v>
      </c>
      <c r="F2" s="36" t="s">
        <v>633</v>
      </c>
      <c r="G2" s="36" t="s">
        <v>631</v>
      </c>
      <c r="H2" s="36" t="s">
        <v>634</v>
      </c>
      <c r="I2" s="36" t="s">
        <v>635</v>
      </c>
      <c r="J2" s="36" t="s">
        <v>636</v>
      </c>
      <c r="K2" s="36" t="s">
        <v>633</v>
      </c>
      <c r="L2" s="36" t="s">
        <v>631</v>
      </c>
      <c r="M2" s="36" t="s">
        <v>632</v>
      </c>
      <c r="N2" s="36" t="s">
        <v>633</v>
      </c>
    </row>
    <row r="3" spans="1:14" ht="16.5" x14ac:dyDescent="0.25">
      <c r="A3" s="36" t="s">
        <v>637</v>
      </c>
      <c r="B3" s="39" t="e">
        <f>E3+J3+M3</f>
        <v>#REF!</v>
      </c>
      <c r="C3" s="39"/>
      <c r="D3" s="40">
        <v>12</v>
      </c>
      <c r="E3" s="40" t="e">
        <f>COUNTIFS('Судовой состав МСС'!C2:C274,"БАР",'Судовой состав МСС'!#REF!,"мфасс")</f>
        <v>#REF!</v>
      </c>
      <c r="F3" s="40" t="e">
        <f>E3-D3</f>
        <v>#REF!</v>
      </c>
      <c r="G3" s="40">
        <v>10</v>
      </c>
      <c r="H3" s="40" t="e">
        <f>COUNTIFS('Судовой состав МСС'!C$2:C$274,"БАР",'Судовой состав МСС'!#REF!,"сб")</f>
        <v>#REF!</v>
      </c>
      <c r="I3" s="40" t="e">
        <f>COUNTIFS('Судовой состав МСС'!C2:C274,"БАР",'Судовой состав МСС'!#REF!,"нсс")</f>
        <v>#REF!</v>
      </c>
      <c r="J3" s="40" t="e">
        <f>H3+I3</f>
        <v>#REF!</v>
      </c>
      <c r="K3" s="40" t="e">
        <f>J3-G3</f>
        <v>#REF!</v>
      </c>
      <c r="L3" s="40">
        <v>10</v>
      </c>
      <c r="M3" s="40" t="e">
        <f>COUNTIFS('Судовой состав МСС'!C2:C274,"БАР",'Судовой состав МСС'!#REF!,"скб")</f>
        <v>#REF!</v>
      </c>
      <c r="N3" s="40" t="e">
        <f>M3-L3</f>
        <v>#REF!</v>
      </c>
    </row>
    <row r="4" spans="1:14" ht="16.5" x14ac:dyDescent="0.25">
      <c r="A4" s="36" t="s">
        <v>638</v>
      </c>
      <c r="B4" s="39" t="e">
        <f t="shared" ref="B4:B10" si="0">E4+J4+M4</f>
        <v>#REF!</v>
      </c>
      <c r="C4" s="39"/>
      <c r="D4" s="40">
        <v>6</v>
      </c>
      <c r="E4" s="40" t="e">
        <f>COUNTIFS('Судовой состав МСС'!C2:C274,"ЧУК",'Судовой состав МСС'!#REF!,"мфасс")</f>
        <v>#REF!</v>
      </c>
      <c r="F4" s="40" t="e">
        <f t="shared" ref="F4:F10" si="1">E4-D4</f>
        <v>#REF!</v>
      </c>
      <c r="G4" s="40">
        <v>8</v>
      </c>
      <c r="H4" s="40" t="e">
        <f>COUNTIFS('Судовой состав МСС'!C2:C274,"ЧУК",'Судовой состав МСС'!#REF!,"сб")</f>
        <v>#REF!</v>
      </c>
      <c r="I4" s="40" t="e">
        <f>COUNTIFS('Судовой состав МСС'!C2:C274,"ЧУК",'Судовой состав МСС'!#REF!,"нсс")</f>
        <v>#REF!</v>
      </c>
      <c r="J4" s="40" t="e">
        <f t="shared" ref="J4:J10" si="2">H4+I4</f>
        <v>#REF!</v>
      </c>
      <c r="K4" s="40" t="e">
        <f t="shared" ref="K4:K10" si="3">J4-G4</f>
        <v>#REF!</v>
      </c>
      <c r="L4" s="40">
        <v>8</v>
      </c>
      <c r="M4" s="40" t="e">
        <f>COUNTIFS('Судовой состав МСС'!C2:C274,"ЧУК",'Судовой состав МСС'!#REF!,"скб")</f>
        <v>#REF!</v>
      </c>
      <c r="N4" s="40" t="e">
        <f t="shared" ref="N4:N10" si="4">M4-L4</f>
        <v>#REF!</v>
      </c>
    </row>
    <row r="5" spans="1:14" ht="16.5" x14ac:dyDescent="0.25">
      <c r="A5" s="36" t="s">
        <v>639</v>
      </c>
      <c r="B5" s="39" t="e">
        <f t="shared" si="0"/>
        <v>#REF!</v>
      </c>
      <c r="C5" s="39"/>
      <c r="D5" s="40">
        <v>3</v>
      </c>
      <c r="E5" s="40" t="e">
        <f>COUNTIFS('Судовой состав МСС'!C2:C274,"БЕР",'Судовой состав МСС'!#REF!,"мфасс")</f>
        <v>#REF!</v>
      </c>
      <c r="F5" s="40" t="e">
        <f t="shared" si="1"/>
        <v>#REF!</v>
      </c>
      <c r="G5" s="40">
        <v>8</v>
      </c>
      <c r="H5" s="40" t="e">
        <f>COUNTIFS('Судовой состав МСС'!C2:C274,"БЕР",'Судовой состав МСС'!#REF!,"сб")</f>
        <v>#REF!</v>
      </c>
      <c r="I5" s="40" t="e">
        <f>COUNTIFS('Судовой состав МСС'!C2:C274,"БЕР",'Судовой состав МСС'!#REF!,"нсс")</f>
        <v>#REF!</v>
      </c>
      <c r="J5" s="40" t="e">
        <f t="shared" si="2"/>
        <v>#REF!</v>
      </c>
      <c r="K5" s="40" t="e">
        <f t="shared" si="3"/>
        <v>#REF!</v>
      </c>
      <c r="L5" s="40">
        <v>8</v>
      </c>
      <c r="M5" s="40" t="e">
        <f>COUNTIFS('Судовой состав МСС'!C2:C274,"БЕР",'Судовой состав МСС'!#REF!,"скб")</f>
        <v>#REF!</v>
      </c>
      <c r="N5" s="40" t="e">
        <f t="shared" si="4"/>
        <v>#REF!</v>
      </c>
    </row>
    <row r="6" spans="1:14" ht="16.5" x14ac:dyDescent="0.25">
      <c r="A6" s="36" t="s">
        <v>640</v>
      </c>
      <c r="B6" s="39" t="e">
        <f t="shared" si="0"/>
        <v>#REF!</v>
      </c>
      <c r="C6" s="39"/>
      <c r="D6" s="40">
        <v>9</v>
      </c>
      <c r="E6" s="40" t="e">
        <f>COUNTIFS('Судовой состав МСС'!C2:C274,"ОМ",'Судовой состав МСС'!#REF!,"мфасс")</f>
        <v>#REF!</v>
      </c>
      <c r="F6" s="40" t="e">
        <f t="shared" si="1"/>
        <v>#REF!</v>
      </c>
      <c r="G6" s="40">
        <v>6</v>
      </c>
      <c r="H6" s="40" t="e">
        <f>COUNTIFS('Судовой состав МСС'!C2:C274,"ОМ",'Судовой состав МСС'!#REF!,"сб")</f>
        <v>#REF!</v>
      </c>
      <c r="I6" s="40" t="e">
        <f>COUNTIFS('Судовой состав МСС'!C2:C274,"ОМ",'Судовой состав МСС'!#REF!,"нсс")</f>
        <v>#REF!</v>
      </c>
      <c r="J6" s="40" t="e">
        <f t="shared" si="2"/>
        <v>#REF!</v>
      </c>
      <c r="K6" s="40" t="e">
        <f t="shared" si="3"/>
        <v>#REF!</v>
      </c>
      <c r="L6" s="40">
        <v>7</v>
      </c>
      <c r="M6" s="40" t="e">
        <f>COUNTIFS('Судовой состав МСС'!C2:C274,"ОМ",'Судовой состав МСС'!#REF!,"скб")</f>
        <v>#REF!</v>
      </c>
      <c r="N6" s="40" t="e">
        <f t="shared" si="4"/>
        <v>#REF!</v>
      </c>
    </row>
    <row r="7" spans="1:14" ht="16.5" x14ac:dyDescent="0.25">
      <c r="A7" s="36" t="s">
        <v>641</v>
      </c>
      <c r="B7" s="39" t="e">
        <f t="shared" si="0"/>
        <v>#REF!</v>
      </c>
      <c r="C7" s="39"/>
      <c r="D7" s="40">
        <v>3</v>
      </c>
      <c r="E7" s="40" t="e">
        <f>COUNTIFS('Судовой состав МСС'!C2:C274,"ЯП",'Судовой состав МСС'!#REF!,"мфасс")</f>
        <v>#REF!</v>
      </c>
      <c r="F7" s="40" t="e">
        <f t="shared" si="1"/>
        <v>#REF!</v>
      </c>
      <c r="G7" s="40">
        <v>8</v>
      </c>
      <c r="H7" s="40" t="e">
        <f>COUNTIFS('Судовой состав МСС'!C2:C274,"ЯП",'Судовой состав МСС'!#REF!,"сб")</f>
        <v>#REF!</v>
      </c>
      <c r="I7" s="40" t="e">
        <f>COUNTIFS('Судовой состав МСС'!C2:C274,"ЯП",'Судовой состав МСС'!#REF!,"нсс")</f>
        <v>#REF!</v>
      </c>
      <c r="J7" s="40" t="e">
        <f t="shared" si="2"/>
        <v>#REF!</v>
      </c>
      <c r="K7" s="40" t="e">
        <f t="shared" si="3"/>
        <v>#REF!</v>
      </c>
      <c r="L7" s="40">
        <v>8</v>
      </c>
      <c r="M7" s="40" t="e">
        <f>COUNTIFS('Судовой состав МСС'!C2:C274,"ЯП",'Судовой состав МСС'!#REF!,"скб")</f>
        <v>#REF!</v>
      </c>
      <c r="N7" s="40" t="e">
        <f t="shared" si="4"/>
        <v>#REF!</v>
      </c>
    </row>
    <row r="8" spans="1:14" ht="16.5" x14ac:dyDescent="0.25">
      <c r="A8" s="36" t="s">
        <v>642</v>
      </c>
      <c r="B8" s="39" t="e">
        <f t="shared" si="0"/>
        <v>#REF!</v>
      </c>
      <c r="C8" s="39"/>
      <c r="D8" s="40">
        <v>0</v>
      </c>
      <c r="E8" s="40" t="e">
        <f>COUNTIFS('Судовой состав МСС'!C2:C274,"КАСП",'Судовой состав МСС'!#REF!,"мфасс")</f>
        <v>#REF!</v>
      </c>
      <c r="F8" s="40" t="e">
        <f t="shared" si="1"/>
        <v>#REF!</v>
      </c>
      <c r="G8" s="40">
        <v>4</v>
      </c>
      <c r="H8" s="40" t="e">
        <f>COUNTIFS('Судовой состав МСС'!C2:C274,"КАСП",'Судовой состав МСС'!#REF!,"сб")</f>
        <v>#REF!</v>
      </c>
      <c r="I8" s="40" t="e">
        <f>COUNTIFS('Судовой состав МСС'!C2:C274,"КАСП",'Судовой состав МСС'!#REF!,"нсс")</f>
        <v>#REF!</v>
      </c>
      <c r="J8" s="40" t="e">
        <f t="shared" si="2"/>
        <v>#REF!</v>
      </c>
      <c r="K8" s="40" t="e">
        <f t="shared" si="3"/>
        <v>#REF!</v>
      </c>
      <c r="L8" s="40">
        <v>4</v>
      </c>
      <c r="M8" s="40" t="e">
        <f>COUNTIFS('Судовой состав МСС'!C2:C274,"КАСП",'Судовой состав МСС'!#REF!,"скб")</f>
        <v>#REF!</v>
      </c>
      <c r="N8" s="40" t="e">
        <f t="shared" si="4"/>
        <v>#REF!</v>
      </c>
    </row>
    <row r="9" spans="1:14" ht="16.5" x14ac:dyDescent="0.25">
      <c r="A9" s="36" t="s">
        <v>643</v>
      </c>
      <c r="B9" s="39" t="e">
        <f t="shared" si="0"/>
        <v>#REF!</v>
      </c>
      <c r="C9" s="39"/>
      <c r="D9" s="40">
        <v>12</v>
      </c>
      <c r="E9" s="40" t="e">
        <f>COUNTIFS('Судовой состав МСС'!C2:C274,"АЧ",'Судовой состав МСС'!#REF!,"мфасс")</f>
        <v>#REF!</v>
      </c>
      <c r="F9" s="40" t="e">
        <f t="shared" si="1"/>
        <v>#REF!</v>
      </c>
      <c r="G9" s="40">
        <v>12</v>
      </c>
      <c r="H9" s="40" t="e">
        <f>COUNTIFS('Судовой состав МСС'!C2:C274,"АЧ",'Судовой состав МСС'!#REF!,"сб")</f>
        <v>#REF!</v>
      </c>
      <c r="I9" s="40" t="e">
        <f>COUNTIFS('Судовой состав МСС'!C2:C274,"АЧ",'Судовой состав МСС'!#REF!,"нсс")</f>
        <v>#REF!</v>
      </c>
      <c r="J9" s="40" t="e">
        <f t="shared" si="2"/>
        <v>#REF!</v>
      </c>
      <c r="K9" s="40" t="e">
        <f t="shared" si="3"/>
        <v>#REF!</v>
      </c>
      <c r="L9" s="40">
        <v>12</v>
      </c>
      <c r="M9" s="40" t="e">
        <f>COUNTIFS('Судовой состав МСС'!C2:C274,"АЧ",'Судовой состав МСС'!#REF!,"скб")</f>
        <v>#REF!</v>
      </c>
      <c r="N9" s="40" t="e">
        <f t="shared" si="4"/>
        <v>#REF!</v>
      </c>
    </row>
    <row r="10" spans="1:14" ht="16.5" x14ac:dyDescent="0.25">
      <c r="A10" s="36" t="s">
        <v>644</v>
      </c>
      <c r="B10" s="39" t="e">
        <f t="shared" si="0"/>
        <v>#REF!</v>
      </c>
      <c r="C10" s="39"/>
      <c r="D10" s="40">
        <v>6</v>
      </c>
      <c r="E10" s="40" t="e">
        <f>COUNTIFS('Судовой состав МСС'!C2:C274,"БАЛ",'Судовой состав МСС'!#REF!,"мфасс")</f>
        <v>#REF!</v>
      </c>
      <c r="F10" s="40" t="e">
        <f t="shared" si="1"/>
        <v>#REF!</v>
      </c>
      <c r="G10" s="40">
        <v>10</v>
      </c>
      <c r="H10" s="40" t="e">
        <f>COUNTIFS('Судовой состав МСС'!C2:C274,"БАЛ",'Судовой состав МСС'!#REF!,"сб")</f>
        <v>#REF!</v>
      </c>
      <c r="I10" s="40" t="e">
        <f>COUNTIFS('Судовой состав МСС'!C2:C274,"БАЛ",'Судовой состав МСС'!#REF!,"нсс")</f>
        <v>#REF!</v>
      </c>
      <c r="J10" s="40" t="e">
        <f t="shared" si="2"/>
        <v>#REF!</v>
      </c>
      <c r="K10" s="40" t="e">
        <f t="shared" si="3"/>
        <v>#REF!</v>
      </c>
      <c r="L10" s="40">
        <v>10</v>
      </c>
      <c r="M10" s="40" t="e">
        <f>COUNTIFS('Судовой состав МСС'!C2:C274,"БАЛ",'Судовой состав МСС'!#REF!,"скб")</f>
        <v>#REF!</v>
      </c>
      <c r="N10" s="40" t="e">
        <f t="shared" si="4"/>
        <v>#REF!</v>
      </c>
    </row>
    <row r="11" spans="1:14" ht="16.5" x14ac:dyDescent="0.25">
      <c r="A11" s="36" t="s">
        <v>645</v>
      </c>
      <c r="B11" s="40" t="e">
        <f t="shared" ref="B11:N11" si="5">SUM(B3:B10)</f>
        <v>#REF!</v>
      </c>
      <c r="C11" s="40"/>
      <c r="D11" s="40">
        <f t="shared" si="5"/>
        <v>51</v>
      </c>
      <c r="E11" s="40" t="e">
        <f t="shared" si="5"/>
        <v>#REF!</v>
      </c>
      <c r="F11" s="40" t="e">
        <f t="shared" si="5"/>
        <v>#REF!</v>
      </c>
      <c r="G11" s="40">
        <f t="shared" si="5"/>
        <v>66</v>
      </c>
      <c r="H11" s="40" t="e">
        <f t="shared" si="5"/>
        <v>#REF!</v>
      </c>
      <c r="I11" s="40" t="e">
        <f t="shared" si="5"/>
        <v>#REF!</v>
      </c>
      <c r="J11" s="40" t="e">
        <f t="shared" si="5"/>
        <v>#REF!</v>
      </c>
      <c r="K11" s="40" t="e">
        <f t="shared" si="5"/>
        <v>#REF!</v>
      </c>
      <c r="L11" s="40">
        <f t="shared" si="5"/>
        <v>67</v>
      </c>
      <c r="M11" s="40" t="e">
        <f t="shared" si="5"/>
        <v>#REF!</v>
      </c>
      <c r="N11" s="40" t="e">
        <f t="shared" si="5"/>
        <v>#REF!</v>
      </c>
    </row>
    <row r="12" spans="1:14" ht="16.5" x14ac:dyDescent="0.25">
      <c r="A12" s="36" t="s">
        <v>646</v>
      </c>
      <c r="B12" s="36"/>
      <c r="C12" s="36"/>
      <c r="D12" s="40"/>
      <c r="E12" s="40">
        <v>12.6</v>
      </c>
      <c r="F12" s="40"/>
      <c r="G12" s="40"/>
      <c r="H12" s="40">
        <v>30</v>
      </c>
      <c r="I12" s="40">
        <v>21.3</v>
      </c>
      <c r="J12" s="40">
        <v>28.7</v>
      </c>
      <c r="K12" s="40"/>
      <c r="L12" s="42"/>
      <c r="M12" s="41">
        <v>15.4</v>
      </c>
      <c r="N12" s="41"/>
    </row>
  </sheetData>
  <mergeCells count="3">
    <mergeCell ref="D1:F1"/>
    <mergeCell ref="G1:K1"/>
    <mergeCell ref="L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Судовой состав МСС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Потапов</cp:lastModifiedBy>
  <dcterms:created xsi:type="dcterms:W3CDTF">2026-04-20T13:17:17Z</dcterms:created>
  <dcterms:modified xsi:type="dcterms:W3CDTF">2026-05-25T08:42:25Z</dcterms:modified>
</cp:coreProperties>
</file>